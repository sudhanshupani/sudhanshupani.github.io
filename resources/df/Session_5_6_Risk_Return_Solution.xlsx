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defaultThemeVersion="124226"/>
  <mc:AlternateContent xmlns:mc="http://schemas.openxmlformats.org/markup-compatibility/2006">
    <mc:Choice Requires="x15">
      <x15ac:absPath xmlns:x15ac="http://schemas.microsoft.com/office/spreadsheetml/2010/11/ac" url="https://svkmmumbai-my.sharepoint.com/personal/sudhanshu_pani_sbm_nmims_edu/Documents/TEACHINGcampus (1)/2026/VRCM/Sudhanshu/"/>
    </mc:Choice>
  </mc:AlternateContent>
  <xr:revisionPtr revIDLastSave="2" documentId="8_{80552C2F-8494-4727-B444-A41D07BA9141}" xr6:coauthVersionLast="47" xr6:coauthVersionMax="47" xr10:uidLastSave="{FC6CB8B6-834D-40AC-855F-A210EDE38FB3}"/>
  <bookViews>
    <workbookView xWindow="-120" yWindow="-120" windowWidth="29040" windowHeight="15840" activeTab="1" xr2:uid="{00000000-000D-0000-FFFF-FFFF00000000}"/>
  </bookViews>
  <sheets>
    <sheet name="Exhibit-1" sheetId="2" r:id="rId1"/>
    <sheet name="Exhibit-2" sheetId="3" r:id="rId2"/>
    <sheet name="Sheet1"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8" i="3" l="1"/>
  <c r="H11" i="3" s="1"/>
  <c r="H12" i="3"/>
  <c r="H10" i="3"/>
  <c r="H9" i="3"/>
  <c r="I6" i="3"/>
  <c r="H6" i="3"/>
  <c r="H7" i="3"/>
  <c r="H5" i="3"/>
  <c r="H4" i="3"/>
  <c r="D248" i="3"/>
  <c r="D249" i="3"/>
  <c r="D250" i="3"/>
  <c r="E248" i="3"/>
  <c r="E249" i="3"/>
  <c r="E250" i="3"/>
  <c r="E4" i="3"/>
  <c r="E5" i="3"/>
  <c r="E6" i="3"/>
  <c r="E7" i="3"/>
  <c r="E8" i="3"/>
  <c r="E9" i="3"/>
  <c r="E10" i="3"/>
  <c r="E11" i="3"/>
  <c r="E12" i="3"/>
  <c r="E13" i="3"/>
  <c r="E14" i="3"/>
  <c r="I5" i="3" s="1"/>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3" i="3"/>
  <c r="E24" i="4"/>
  <c r="G24" i="4" s="1"/>
  <c r="G23" i="4"/>
  <c r="E23" i="4"/>
  <c r="G22" i="4"/>
  <c r="E22" i="4"/>
  <c r="E21" i="4"/>
  <c r="G21" i="4" s="1"/>
  <c r="F14" i="4"/>
  <c r="G14" i="4" s="1"/>
  <c r="H14" i="4" s="1"/>
  <c r="F13" i="4"/>
  <c r="G13" i="4" s="1"/>
  <c r="H13" i="4" s="1"/>
  <c r="H12" i="4"/>
  <c r="H11" i="4"/>
  <c r="H10" i="4"/>
  <c r="E3" i="3"/>
  <c r="G52" i="2"/>
  <c r="I52" i="2" s="1"/>
  <c r="F52" i="2"/>
  <c r="H52" i="2" s="1"/>
  <c r="E52" i="2"/>
  <c r="F51" i="2"/>
  <c r="H51" i="2" s="1"/>
  <c r="E51" i="2"/>
  <c r="G51" i="2" s="1"/>
  <c r="I51" i="2" s="1"/>
  <c r="F50" i="2"/>
  <c r="E50" i="2"/>
  <c r="G50" i="2" s="1"/>
  <c r="I50" i="2" s="1"/>
  <c r="H49" i="2"/>
  <c r="G49" i="2"/>
  <c r="I49" i="2" s="1"/>
  <c r="F49" i="2"/>
  <c r="E49" i="2"/>
  <c r="F48" i="2"/>
  <c r="E48" i="2"/>
  <c r="H48" i="2" s="1"/>
  <c r="H47" i="2"/>
  <c r="F47" i="2"/>
  <c r="E47" i="2"/>
  <c r="G47" i="2" s="1"/>
  <c r="I47" i="2" s="1"/>
  <c r="G46" i="2"/>
  <c r="I46" i="2" s="1"/>
  <c r="F46" i="2"/>
  <c r="H46" i="2" s="1"/>
  <c r="E46" i="2"/>
  <c r="F45" i="2"/>
  <c r="H45" i="2" s="1"/>
  <c r="E45" i="2"/>
  <c r="G45" i="2" s="1"/>
  <c r="I45" i="2" s="1"/>
  <c r="F44" i="2"/>
  <c r="E44" i="2"/>
  <c r="H44" i="2" s="1"/>
  <c r="F43" i="2"/>
  <c r="H43" i="2" s="1"/>
  <c r="E43" i="2"/>
  <c r="F42" i="2"/>
  <c r="H42" i="2" s="1"/>
  <c r="E42" i="2"/>
  <c r="H41" i="2"/>
  <c r="G41" i="2"/>
  <c r="I41" i="2" s="1"/>
  <c r="F41" i="2"/>
  <c r="E41" i="2"/>
  <c r="G40" i="2"/>
  <c r="I40" i="2" s="1"/>
  <c r="F40" i="2"/>
  <c r="H40" i="2" s="1"/>
  <c r="E40" i="2"/>
  <c r="F39" i="2"/>
  <c r="H39" i="2" s="1"/>
  <c r="E39" i="2"/>
  <c r="G39" i="2" s="1"/>
  <c r="I39" i="2" s="1"/>
  <c r="F38" i="2"/>
  <c r="E38" i="2"/>
  <c r="G38" i="2" s="1"/>
  <c r="I38" i="2" s="1"/>
  <c r="H37" i="2"/>
  <c r="G37" i="2"/>
  <c r="I37" i="2" s="1"/>
  <c r="F37" i="2"/>
  <c r="E37" i="2"/>
  <c r="F36" i="2"/>
  <c r="E36" i="2"/>
  <c r="H36" i="2" s="1"/>
  <c r="H35" i="2"/>
  <c r="F35" i="2"/>
  <c r="E35" i="2"/>
  <c r="G35" i="2" s="1"/>
  <c r="I35" i="2" s="1"/>
  <c r="G34" i="2"/>
  <c r="I34" i="2" s="1"/>
  <c r="F34" i="2"/>
  <c r="H34" i="2" s="1"/>
  <c r="E34" i="2"/>
  <c r="F33" i="2"/>
  <c r="H33" i="2" s="1"/>
  <c r="E33" i="2"/>
  <c r="G33" i="2" s="1"/>
  <c r="I33" i="2" s="1"/>
  <c r="F32" i="2"/>
  <c r="E32" i="2"/>
  <c r="H32" i="2" s="1"/>
  <c r="F31" i="2"/>
  <c r="H31" i="2" s="1"/>
  <c r="E31" i="2"/>
  <c r="G31" i="2" s="1"/>
  <c r="I31" i="2" s="1"/>
  <c r="F30" i="2"/>
  <c r="H30" i="2" s="1"/>
  <c r="E30" i="2"/>
  <c r="G30" i="2" s="1"/>
  <c r="I30" i="2" s="1"/>
  <c r="H29" i="2"/>
  <c r="G29" i="2"/>
  <c r="I29" i="2" s="1"/>
  <c r="F29" i="2"/>
  <c r="E29" i="2"/>
  <c r="G28" i="2"/>
  <c r="I28" i="2" s="1"/>
  <c r="F28" i="2"/>
  <c r="H28" i="2" s="1"/>
  <c r="E28" i="2"/>
  <c r="F27" i="2"/>
  <c r="H27" i="2" s="1"/>
  <c r="E27" i="2"/>
  <c r="G27" i="2" s="1"/>
  <c r="I27" i="2" s="1"/>
  <c r="F26" i="2"/>
  <c r="H26" i="2" s="1"/>
  <c r="E26" i="2"/>
  <c r="G26" i="2" s="1"/>
  <c r="I26" i="2" s="1"/>
  <c r="H25" i="2"/>
  <c r="G25" i="2"/>
  <c r="I25" i="2" s="1"/>
  <c r="F25" i="2"/>
  <c r="E25" i="2"/>
  <c r="F24" i="2"/>
  <c r="E24" i="2"/>
  <c r="H24" i="2" s="1"/>
  <c r="H23" i="2"/>
  <c r="F23" i="2"/>
  <c r="E23" i="2"/>
  <c r="G23" i="2" s="1"/>
  <c r="I23" i="2" s="1"/>
  <c r="G22" i="2"/>
  <c r="I22" i="2" s="1"/>
  <c r="F22" i="2"/>
  <c r="H22" i="2" s="1"/>
  <c r="E22" i="2"/>
  <c r="F21" i="2"/>
  <c r="H21" i="2" s="1"/>
  <c r="E21" i="2"/>
  <c r="G21" i="2" s="1"/>
  <c r="I21" i="2" s="1"/>
  <c r="F20" i="2"/>
  <c r="E20" i="2"/>
  <c r="H20" i="2" s="1"/>
  <c r="F19" i="2"/>
  <c r="H19" i="2" s="1"/>
  <c r="E19" i="2"/>
  <c r="G19" i="2" s="1"/>
  <c r="I19" i="2" s="1"/>
  <c r="F18" i="2"/>
  <c r="H18" i="2" s="1"/>
  <c r="E18" i="2"/>
  <c r="G18" i="2" s="1"/>
  <c r="I18" i="2" s="1"/>
  <c r="H17" i="2"/>
  <c r="G17" i="2"/>
  <c r="I17" i="2" s="1"/>
  <c r="F17" i="2"/>
  <c r="E17" i="2"/>
  <c r="G16" i="2"/>
  <c r="I16" i="2" s="1"/>
  <c r="F16" i="2"/>
  <c r="H16" i="2" s="1"/>
  <c r="E16" i="2"/>
  <c r="F15" i="2"/>
  <c r="H15" i="2" s="1"/>
  <c r="E15" i="2"/>
  <c r="G15" i="2" s="1"/>
  <c r="I15" i="2" s="1"/>
  <c r="F14" i="2"/>
  <c r="H14" i="2" s="1"/>
  <c r="E14" i="2"/>
  <c r="G14" i="2" s="1"/>
  <c r="I14" i="2" s="1"/>
  <c r="G13" i="2"/>
  <c r="I13" i="2" s="1"/>
  <c r="F13" i="2"/>
  <c r="H13" i="2" s="1"/>
  <c r="E13" i="2"/>
  <c r="F12" i="2"/>
  <c r="H12" i="2" s="1"/>
  <c r="E12" i="2"/>
  <c r="G12" i="2" s="1"/>
  <c r="I12" i="2" s="1"/>
  <c r="H11" i="2"/>
  <c r="F11" i="2"/>
  <c r="E11" i="2"/>
  <c r="G11" i="2" s="1"/>
  <c r="I11" i="2" s="1"/>
  <c r="G10" i="2"/>
  <c r="I10" i="2" s="1"/>
  <c r="F10" i="2"/>
  <c r="H10" i="2" s="1"/>
  <c r="E10" i="2"/>
  <c r="F9" i="2"/>
  <c r="H9" i="2" s="1"/>
  <c r="E9" i="2"/>
  <c r="G9" i="2" s="1"/>
  <c r="I9" i="2" s="1"/>
  <c r="F8" i="2"/>
  <c r="H8" i="2" s="1"/>
  <c r="E8" i="2"/>
  <c r="G8" i="2" s="1"/>
  <c r="I8" i="2" s="1"/>
  <c r="F7" i="2"/>
  <c r="H7" i="2" s="1"/>
  <c r="E7" i="2"/>
  <c r="G7" i="2" s="1"/>
  <c r="I7" i="2" s="1"/>
  <c r="F6" i="2"/>
  <c r="H6" i="2" s="1"/>
  <c r="E6" i="2"/>
  <c r="G6" i="2" s="1"/>
  <c r="I6" i="2" s="1"/>
  <c r="F5" i="2"/>
  <c r="H5" i="2" s="1"/>
  <c r="E5" i="2"/>
  <c r="G5" i="2" s="1"/>
  <c r="I5" i="2" s="1"/>
  <c r="G4" i="2"/>
  <c r="I4" i="2" s="1"/>
  <c r="F4" i="2"/>
  <c r="H4" i="2" s="1"/>
  <c r="E4" i="2"/>
  <c r="F3" i="2"/>
  <c r="H3" i="2" s="1"/>
  <c r="E3" i="2"/>
  <c r="G3" i="2" s="1"/>
  <c r="I3" i="2" s="1"/>
  <c r="I4" i="3" l="1"/>
  <c r="I7" i="3" s="1"/>
  <c r="H38" i="2"/>
  <c r="G43" i="2"/>
  <c r="I43" i="2" s="1"/>
  <c r="H50" i="2"/>
  <c r="G24" i="2"/>
  <c r="I24" i="2" s="1"/>
  <c r="G36" i="2"/>
  <c r="I36" i="2" s="1"/>
  <c r="G48" i="2"/>
  <c r="I48" i="2" s="1"/>
  <c r="G20" i="2"/>
  <c r="I20" i="2" s="1"/>
  <c r="G32" i="2"/>
  <c r="I32" i="2" s="1"/>
  <c r="G44" i="2"/>
  <c r="I44" i="2" s="1"/>
  <c r="G42" i="2"/>
  <c r="I42"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Sudhanshu Pani</author>
  </authors>
  <commentList>
    <comment ref="D21" authorId="0" shapeId="0" xr:uid="{2551FF7F-34CA-4FCB-819C-8AAFC816A975}">
      <text>
        <r>
          <rPr>
            <b/>
            <sz val="9"/>
            <color indexed="81"/>
            <rFont val="Tahoma"/>
            <charset val="1"/>
          </rPr>
          <t>Sudhanshu Pani:</t>
        </r>
        <r>
          <rPr>
            <sz val="9"/>
            <color indexed="81"/>
            <rFont val="Tahoma"/>
            <charset val="1"/>
          </rPr>
          <t xml:space="preserve">
Lowest SD. Hence should maximise excess returns per unit of risk</t>
        </r>
      </text>
    </comment>
  </commentList>
</comments>
</file>

<file path=xl/sharedStrings.xml><?xml version="1.0" encoding="utf-8"?>
<sst xmlns="http://schemas.openxmlformats.org/spreadsheetml/2006/main" count="145" uniqueCount="123">
  <si>
    <t>Company Name</t>
  </si>
  <si>
    <t>Adani Ports</t>
  </si>
  <si>
    <t>Asian Paints</t>
  </si>
  <si>
    <t>Axis Bank</t>
  </si>
  <si>
    <t>B P C L</t>
  </si>
  <si>
    <t>Bajaj Auto</t>
  </si>
  <si>
    <t>Bajaj Fin.</t>
  </si>
  <si>
    <t>Bajaj Finserv</t>
  </si>
  <si>
    <t>Bharti Airtel</t>
  </si>
  <si>
    <t>Bharti Infra.</t>
  </si>
  <si>
    <t>Britannia Inds.</t>
  </si>
  <si>
    <t>Cipla</t>
  </si>
  <si>
    <t>Coal India</t>
  </si>
  <si>
    <t>Dr Reddy's Labs</t>
  </si>
  <si>
    <t>Eicher Motors</t>
  </si>
  <si>
    <t>GAIL (India)</t>
  </si>
  <si>
    <t>Grasim Inds</t>
  </si>
  <si>
    <t>H D F C</t>
  </si>
  <si>
    <t>HCL Technologies</t>
  </si>
  <si>
    <t>HDFC Bank</t>
  </si>
  <si>
    <t>Hero Motocorp</t>
  </si>
  <si>
    <t>Hind. Unilever</t>
  </si>
  <si>
    <t>Hindalco Inds.</t>
  </si>
  <si>
    <t>I O C L</t>
  </si>
  <si>
    <t>ICICI Bank</t>
  </si>
  <si>
    <t>Indiabulls Hous.</t>
  </si>
  <si>
    <t>IndusInd Bank</t>
  </si>
  <si>
    <t>Infosys</t>
  </si>
  <si>
    <t>ITC</t>
  </si>
  <si>
    <t>JSW Steel</t>
  </si>
  <si>
    <t>Kotak Mah. Bank</t>
  </si>
  <si>
    <t>Larsen &amp; Toubro</t>
  </si>
  <si>
    <t>M &amp; M</t>
  </si>
  <si>
    <t>Maruti Suzuki</t>
  </si>
  <si>
    <t>NTPC</t>
  </si>
  <si>
    <t>O N G C</t>
  </si>
  <si>
    <t>Power Grid Corpn</t>
  </si>
  <si>
    <t>Reliance Inds.</t>
  </si>
  <si>
    <t>St Bk of India</t>
  </si>
  <si>
    <t>Sun Pharma.Inds.</t>
  </si>
  <si>
    <t>Tata Motors</t>
  </si>
  <si>
    <t>Tata Steel</t>
  </si>
  <si>
    <t>TCS</t>
  </si>
  <si>
    <t>Tech Mahindra</t>
  </si>
  <si>
    <t>Titan Company</t>
  </si>
  <si>
    <t>UltraTech Cem.</t>
  </si>
  <si>
    <t>UPL</t>
  </si>
  <si>
    <t>Vedanta</t>
  </si>
  <si>
    <t>Wipro</t>
  </si>
  <si>
    <t>Yes Bank</t>
  </si>
  <si>
    <t>Zee Entertainmen</t>
  </si>
  <si>
    <t>Annualized standard Deviation</t>
  </si>
  <si>
    <t xml:space="preserve">Nifty's annualized stdev </t>
  </si>
  <si>
    <t>Date</t>
  </si>
  <si>
    <t>Nifty 50</t>
  </si>
  <si>
    <t>Beta With Respect to Nifty</t>
  </si>
  <si>
    <t>Asian Paint Close Price</t>
  </si>
  <si>
    <r>
      <t>&lt;= This is σ</t>
    </r>
    <r>
      <rPr>
        <vertAlign val="subscript"/>
        <sz val="10"/>
        <color rgb="FFFF0000"/>
        <rFont val="Arial"/>
        <family val="2"/>
      </rPr>
      <t>m</t>
    </r>
  </si>
  <si>
    <r>
      <t>σ</t>
    </r>
    <r>
      <rPr>
        <vertAlign val="subscript"/>
        <sz val="10"/>
        <color rgb="FFFF0000"/>
        <rFont val="Arial"/>
        <family val="2"/>
      </rPr>
      <t>i</t>
    </r>
    <r>
      <rPr>
        <vertAlign val="superscript"/>
        <sz val="10"/>
        <color rgb="FFFF0000"/>
        <rFont val="Arial"/>
        <family val="2"/>
      </rPr>
      <t>2</t>
    </r>
  </si>
  <si>
    <r>
      <t>βi</t>
    </r>
    <r>
      <rPr>
        <vertAlign val="superscript"/>
        <sz val="10"/>
        <color rgb="FFFF0000"/>
        <rFont val="Arial"/>
        <family val="2"/>
      </rPr>
      <t>2</t>
    </r>
    <r>
      <rPr>
        <sz val="10"/>
        <color rgb="FFFF0000"/>
        <rFont val="Arial"/>
        <family val="2"/>
      </rPr>
      <t>σ</t>
    </r>
    <r>
      <rPr>
        <vertAlign val="subscript"/>
        <sz val="10"/>
        <color rgb="FFFF0000"/>
        <rFont val="Arial"/>
        <family val="2"/>
      </rPr>
      <t>m</t>
    </r>
    <r>
      <rPr>
        <vertAlign val="superscript"/>
        <sz val="10"/>
        <color rgb="FFFF0000"/>
        <rFont val="Arial"/>
        <family val="2"/>
      </rPr>
      <t>2</t>
    </r>
  </si>
  <si>
    <t>Total minus Systematic</t>
  </si>
  <si>
    <t>Systematic / Total</t>
  </si>
  <si>
    <t>Unsystematic / Total</t>
  </si>
  <si>
    <t>Alternative formulas</t>
  </si>
  <si>
    <t>Total Variance</t>
  </si>
  <si>
    <t>Systematic Risk</t>
  </si>
  <si>
    <t>Unsystematic Risk</t>
  </si>
  <si>
    <t>% Systematic Risk</t>
  </si>
  <si>
    <t>% Unsystematic Risk</t>
  </si>
  <si>
    <t>Systematic Risk can also be estimated as</t>
  </si>
  <si>
    <r>
      <t>σ</t>
    </r>
    <r>
      <rPr>
        <vertAlign val="subscript"/>
        <sz val="10"/>
        <color rgb="FFFF0000"/>
        <rFont val="Arial"/>
        <family val="2"/>
      </rPr>
      <t>i</t>
    </r>
    <r>
      <rPr>
        <vertAlign val="superscript"/>
        <sz val="10"/>
        <color rgb="FFFF0000"/>
        <rFont val="Arial"/>
        <family val="2"/>
      </rPr>
      <t>2</t>
    </r>
    <r>
      <rPr>
        <sz val="10"/>
        <color rgb="FFFF0000"/>
        <rFont val="Arial"/>
        <family val="2"/>
      </rPr>
      <t xml:space="preserve"> x R</t>
    </r>
    <r>
      <rPr>
        <vertAlign val="subscript"/>
        <sz val="10"/>
        <color rgb="FFFF0000"/>
        <rFont val="Arial"/>
        <family val="2"/>
      </rPr>
      <t>im</t>
    </r>
    <r>
      <rPr>
        <vertAlign val="superscript"/>
        <sz val="10"/>
        <color rgb="FFFF0000"/>
        <rFont val="Arial"/>
        <family val="2"/>
      </rPr>
      <t>2</t>
    </r>
  </si>
  <si>
    <t>where Rim is R-square of regression between stock return &amp; market return</t>
  </si>
  <si>
    <r>
      <t>σ</t>
    </r>
    <r>
      <rPr>
        <vertAlign val="subscript"/>
        <sz val="10"/>
        <color rgb="FFFF0000"/>
        <rFont val="Arial"/>
        <family val="2"/>
      </rPr>
      <t>i</t>
    </r>
    <r>
      <rPr>
        <vertAlign val="superscript"/>
        <sz val="10"/>
        <color rgb="FFFF0000"/>
        <rFont val="Arial"/>
        <family val="2"/>
      </rPr>
      <t>2</t>
    </r>
    <r>
      <rPr>
        <sz val="10"/>
        <color rgb="FFFF0000"/>
        <rFont val="Arial"/>
        <family val="2"/>
      </rPr>
      <t xml:space="preserve"> x (1-R</t>
    </r>
    <r>
      <rPr>
        <vertAlign val="subscript"/>
        <sz val="10"/>
        <color rgb="FFFF0000"/>
        <rFont val="Arial"/>
        <family val="2"/>
      </rPr>
      <t>im</t>
    </r>
    <r>
      <rPr>
        <vertAlign val="superscript"/>
        <sz val="10"/>
        <color rgb="FFFF0000"/>
        <rFont val="Arial"/>
        <family val="2"/>
      </rPr>
      <t>2</t>
    </r>
    <r>
      <rPr>
        <sz val="10"/>
        <color rgb="FFFF0000"/>
        <rFont val="Arial"/>
        <family val="2"/>
      </rPr>
      <t>)</t>
    </r>
  </si>
  <si>
    <t>1. Standard Deviation measures total risk, beta is a relative measure of systematic risk. 2. If expected return is same across all the stocks, the stock with the highest excess return to risk ratio will be the one with the lowest standard deviation. In this case, it is HDFC Bank. 3. Systematic risk for each security can be calculated by multiplying the square of its beta with market variance. Unsystematic risk is total risk (variance) minus systematic risk. 4. SBI has the highest percentage of systematic risk</t>
  </si>
  <si>
    <t>Stock Return</t>
  </si>
  <si>
    <t>Market Return</t>
  </si>
  <si>
    <t>Formula for</t>
  </si>
  <si>
    <t xml:space="preserve">stock &amp; market </t>
  </si>
  <si>
    <t>ignoring dividend yield</t>
  </si>
  <si>
    <t>5)</t>
  </si>
  <si>
    <t>Stock</t>
  </si>
  <si>
    <t>Market</t>
  </si>
  <si>
    <t>return</t>
  </si>
  <si>
    <t>Daily Variance</t>
  </si>
  <si>
    <t>=var.s(Stock Return)</t>
  </si>
  <si>
    <t>Days of Return</t>
  </si>
  <si>
    <t>Usually the number of trading days in a year are around 250</t>
  </si>
  <si>
    <t>Annual Variance</t>
  </si>
  <si>
    <t>=Daily Variance x Days</t>
  </si>
  <si>
    <t>Annual S.D.</t>
  </si>
  <si>
    <t>=sqrt(Annual Variance)</t>
  </si>
  <si>
    <t>Annual Covariance</t>
  </si>
  <si>
    <t>=covariance.s(Stock Return, Market Return) x Days</t>
  </si>
  <si>
    <t>Correlation</t>
  </si>
  <si>
    <t>=correl(Stock Return, Market Return)</t>
  </si>
  <si>
    <t>Beta</t>
  </si>
  <si>
    <t>as regression slope</t>
  </si>
  <si>
    <t>=slope(Stock Return, Market Return)</t>
  </si>
  <si>
    <t>by covariance/variance formula</t>
  </si>
  <si>
    <t>=covariance.s(Stock Return,Market Return)/var.s(Market Return)</t>
  </si>
  <si>
    <t>by correl x relative volatility formula</t>
  </si>
  <si>
    <t>=Correlation x S.D. of stock/S.D. of market</t>
  </si>
  <si>
    <t>6)</t>
  </si>
  <si>
    <t>Sharpe ratio</t>
  </si>
  <si>
    <t>Portfolio variance</t>
  </si>
  <si>
    <t>Expected return</t>
  </si>
  <si>
    <t>as per C.A.P.M.</t>
  </si>
  <si>
    <t>Rp</t>
  </si>
  <si>
    <t>Rf</t>
  </si>
  <si>
    <t>Variance p</t>
  </si>
  <si>
    <t>σp</t>
  </si>
  <si>
    <t>a.</t>
  </si>
  <si>
    <t>Nifty</t>
  </si>
  <si>
    <t>b.</t>
  </si>
  <si>
    <t>c.</t>
  </si>
  <si>
    <t>d.</t>
  </si>
  <si>
    <t>Portfolio</t>
  </si>
  <si>
    <t>Using CAPM</t>
  </si>
  <si>
    <t>Rm</t>
  </si>
  <si>
    <t>Rm-Rf</t>
  </si>
  <si>
    <t>Expected Return</t>
  </si>
  <si>
    <t>Returns on high beta stocks vary more with market returns</t>
  </si>
  <si>
    <t>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</si>
</sst>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_ * #,##0.0000_ ;_ * \-#,##0.0000_ ;_ * &quot;-&quot;??_ ;_ @_ "/>
    <numFmt numFmtId="166" formatCode="0.0%"/>
    <numFmt numFmtId="167" formatCode="0.000000"/>
    <numFmt numFmtId="168" formatCode="0.000E+00"/>
    <numFmt numFmtId="169" formatCode="0.000"/>
    <numFmt numFmtId="170" formatCode="0.0000"/>
  </numFmts>
  <fonts count="11" x14ac:knownFonts="1">
    <font>
      <sz val="10"/>
      <name val="Arial"/>
    </font>
    <font>
      <sz val="10"/>
      <name val="Arial"/>
      <family val="2"/>
    </font>
    <font>
      <b/>
      <sz val="10"/>
      <name val="Arial"/>
      <family val="2"/>
    </font>
    <font>
      <sz val="10"/>
      <name val="Arial"/>
      <family val="2"/>
    </font>
    <font>
      <sz val="10"/>
      <name val="Arial"/>
    </font>
    <font>
      <sz val="10"/>
      <color rgb="FFFF0000"/>
      <name val="Arial"/>
      <family val="2"/>
    </font>
    <font>
      <vertAlign val="subscript"/>
      <sz val="10"/>
      <color rgb="FFFF0000"/>
      <name val="Arial"/>
      <family val="2"/>
    </font>
    <font>
      <vertAlign val="superscript"/>
      <sz val="10"/>
      <color rgb="FFFF0000"/>
      <name val="Arial"/>
      <family val="2"/>
    </font>
    <font>
      <i/>
      <sz val="10"/>
      <color rgb="FFFF0000"/>
      <name val="Arial"/>
      <family val="2"/>
    </font>
    <font>
      <sz val="9"/>
      <color indexed="81"/>
      <name val="Tahoma"/>
      <charset val="1"/>
    </font>
    <font>
      <b/>
      <sz val="9"/>
      <color indexed="81"/>
      <name val="Tahoma"/>
      <charset val="1"/>
    </font>
  </fonts>
  <fills count="2">
    <fill>
      <patternFill patternType="none"/>
    </fill>
    <fill>
      <patternFill patternType="gray125"/>
    </fill>
  </fills>
  <borders count="1">
    <border>
      <left/>
      <right/>
      <top/>
      <bottom/>
      <diagonal/>
    </border>
  </borders>
  <cellStyleXfs count="5">
    <xf numFmtId="0" fontId="0" fillId="0" borderId="0"/>
    <xf numFmtId="164" fontId="1" fillId="0" borderId="0" applyFont="0" applyFill="0" applyBorder="0" applyAlignment="0" applyProtection="0"/>
    <xf numFmtId="0" fontId="3" fillId="0" borderId="0"/>
    <xf numFmtId="9" fontId="3" fillId="0" borderId="0" applyFont="0" applyFill="0" applyBorder="0" applyAlignment="0" applyProtection="0"/>
    <xf numFmtId="9" fontId="4" fillId="0" borderId="0" applyFont="0" applyFill="0" applyBorder="0" applyAlignment="0" applyProtection="0"/>
  </cellStyleXfs>
  <cellXfs count="37">
    <xf numFmtId="0" fontId="0" fillId="0" borderId="0" xfId="0"/>
    <xf numFmtId="0" fontId="0" fillId="0" borderId="0" xfId="0" applyAlignment="1">
      <alignment horizontal="left"/>
    </xf>
    <xf numFmtId="0" fontId="0" fillId="0" borderId="0" xfId="0" applyAlignment="1">
      <alignment horizontal="right"/>
    </xf>
    <xf numFmtId="10" fontId="3" fillId="0" borderId="0" xfId="3" applyNumberFormat="1" applyFont="1"/>
    <xf numFmtId="164" fontId="0" fillId="0" borderId="0" xfId="0" applyNumberFormat="1"/>
    <xf numFmtId="0" fontId="2" fillId="0" borderId="0" xfId="2" applyFont="1" applyAlignment="1">
      <alignment horizontal="left"/>
    </xf>
    <xf numFmtId="0" fontId="2" fillId="0" borderId="0" xfId="0" applyFont="1"/>
    <xf numFmtId="0" fontId="1" fillId="0" borderId="0" xfId="0" applyFont="1" applyAlignment="1">
      <alignment horizontal="right"/>
    </xf>
    <xf numFmtId="0" fontId="3" fillId="0" borderId="0" xfId="0" applyFont="1" applyAlignment="1">
      <alignment horizontal="right"/>
    </xf>
    <xf numFmtId="0" fontId="2" fillId="0" borderId="0" xfId="0" applyFont="1"/>
    <xf numFmtId="15" fontId="0" fillId="0" borderId="0" xfId="0" applyNumberFormat="1"/>
    <xf numFmtId="4" fontId="0" fillId="0" borderId="0" xfId="0" applyNumberFormat="1"/>
    <xf numFmtId="0" fontId="2" fillId="0" borderId="0" xfId="0" applyFont="1" applyAlignment="1">
      <alignment horizontal="left"/>
    </xf>
    <xf numFmtId="9" fontId="2" fillId="0" borderId="0" xfId="0" applyNumberFormat="1" applyFont="1" applyAlignment="1">
      <alignment horizontal="right"/>
    </xf>
    <xf numFmtId="0" fontId="2" fillId="0" borderId="0" xfId="0" applyFont="1"/>
    <xf numFmtId="0" fontId="5" fillId="0" borderId="0" xfId="0" applyFont="1"/>
    <xf numFmtId="0" fontId="5" fillId="0" borderId="0" xfId="0" applyFont="1" applyAlignment="1">
      <alignment horizontal="right"/>
    </xf>
    <xf numFmtId="0" fontId="5" fillId="0" borderId="0" xfId="0" applyFont="1" applyAlignment="1">
      <alignment horizontal="left"/>
    </xf>
    <xf numFmtId="0" fontId="8" fillId="0" borderId="0" xfId="0" applyFont="1" applyAlignment="1">
      <alignment horizontal="left"/>
    </xf>
    <xf numFmtId="165" fontId="0" fillId="0" borderId="0" xfId="1" applyNumberFormat="1" applyFont="1" applyAlignment="1">
      <alignment horizontal="right"/>
    </xf>
    <xf numFmtId="165" fontId="0" fillId="0" borderId="0" xfId="0" applyNumberFormat="1" applyAlignment="1">
      <alignment horizontal="right"/>
    </xf>
    <xf numFmtId="166" fontId="0" fillId="0" borderId="0" xfId="4" applyNumberFormat="1" applyFont="1"/>
    <xf numFmtId="0" fontId="5" fillId="0" borderId="0" xfId="0" applyFont="1" applyAlignment="1">
      <alignment vertical="top" wrapText="1"/>
    </xf>
    <xf numFmtId="10" fontId="0" fillId="0" borderId="0" xfId="4" applyNumberFormat="1" applyFont="1"/>
    <xf numFmtId="167" fontId="5" fillId="0" borderId="0" xfId="0" applyNumberFormat="1" applyFont="1" applyAlignment="1">
      <alignment horizontal="right"/>
    </xf>
    <xf numFmtId="0" fontId="5" fillId="0" borderId="0" xfId="0" quotePrefix="1" applyFont="1"/>
    <xf numFmtId="166" fontId="5" fillId="0" borderId="0" xfId="4" applyNumberFormat="1" applyFont="1" applyAlignment="1">
      <alignment horizontal="right"/>
    </xf>
    <xf numFmtId="168" fontId="5" fillId="0" borderId="0" xfId="0" applyNumberFormat="1" applyFont="1" applyAlignment="1">
      <alignment horizontal="right"/>
    </xf>
    <xf numFmtId="169" fontId="5" fillId="0" borderId="0" xfId="0" applyNumberFormat="1" applyFont="1" applyAlignment="1">
      <alignment horizontal="right"/>
    </xf>
    <xf numFmtId="170" fontId="5" fillId="0" borderId="0" xfId="0" applyNumberFormat="1" applyFont="1" applyAlignment="1">
      <alignment horizontal="right"/>
    </xf>
    <xf numFmtId="9" fontId="5" fillId="0" borderId="0" xfId="0" applyNumberFormat="1" applyFont="1" applyAlignment="1">
      <alignment horizontal="right"/>
    </xf>
    <xf numFmtId="2" fontId="5" fillId="0" borderId="0" xfId="0" applyNumberFormat="1" applyFont="1"/>
    <xf numFmtId="10" fontId="5" fillId="0" borderId="0" xfId="3" applyNumberFormat="1" applyFont="1"/>
    <xf numFmtId="10" fontId="5" fillId="0" borderId="0" xfId="4" applyNumberFormat="1" applyFont="1" applyAlignment="1">
      <alignment horizontal="right"/>
    </xf>
    <xf numFmtId="9" fontId="5" fillId="0" borderId="0" xfId="0" applyNumberFormat="1" applyFont="1"/>
    <xf numFmtId="10" fontId="5" fillId="0" borderId="0" xfId="0" applyNumberFormat="1" applyFont="1"/>
    <xf numFmtId="10" fontId="0" fillId="0" borderId="0" xfId="0" applyNumberFormat="1"/>
  </cellXfs>
  <cellStyles count="5">
    <cellStyle name="Comma" xfId="1" builtinId="3"/>
    <cellStyle name="Normal" xfId="0" builtinId="0"/>
    <cellStyle name="Normal 2" xfId="2" xr:uid="{00000000-0005-0000-0000-000002000000}"/>
    <cellStyle name="Percent" xfId="4" builtinId="5"/>
    <cellStyle name="Percent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11</xdr:col>
      <xdr:colOff>73025</xdr:colOff>
      <xdr:row>0</xdr:row>
      <xdr:rowOff>34924</xdr:rowOff>
    </xdr:from>
    <xdr:ext cx="708025" cy="344582"/>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B5CB0FEB-AF7D-469D-84BE-AE2906A8E8C4}"/>
                </a:ext>
              </a:extLst>
            </xdr:cNvPr>
            <xdr:cNvSpPr txBox="1"/>
          </xdr:nvSpPr>
          <xdr:spPr>
            <a:xfrm>
              <a:off x="10026650" y="34924"/>
              <a:ext cx="708025" cy="3445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solidFill>
                          <a:srgbClr val="FF0000"/>
                        </a:solidFill>
                        <a:latin typeface="Cambria Math" panose="02040503050406030204" pitchFamily="18" charset="0"/>
                      </a:rPr>
                      <m:t>𝑟</m:t>
                    </m:r>
                    <m:r>
                      <a:rPr lang="en-US" sz="1100" b="0" i="1">
                        <a:solidFill>
                          <a:srgbClr val="FF0000"/>
                        </a:solidFill>
                        <a:latin typeface="Cambria Math" panose="02040503050406030204" pitchFamily="18" charset="0"/>
                      </a:rPr>
                      <m:t>=</m:t>
                    </m:r>
                    <m:f>
                      <m:fPr>
                        <m:ctrlPr>
                          <a:rPr lang="en-IN" sz="1100" i="1">
                            <a:solidFill>
                              <a:srgbClr val="FF0000"/>
                            </a:solidFill>
                            <a:latin typeface="Cambria Math" panose="02040503050406030204" pitchFamily="18" charset="0"/>
                          </a:rPr>
                        </m:ctrlPr>
                      </m:fPr>
                      <m:num>
                        <m:sSub>
                          <m:sSubPr>
                            <m:ctrlPr>
                              <a:rPr lang="en-IN" sz="1100" i="1">
                                <a:solidFill>
                                  <a:srgbClr val="FF0000"/>
                                </a:solidFill>
                                <a:latin typeface="Cambria Math" panose="02040503050406030204" pitchFamily="18" charset="0"/>
                              </a:rPr>
                            </m:ctrlPr>
                          </m:sSubPr>
                          <m:e>
                            <m:r>
                              <a:rPr lang="en-US" sz="1100" b="0" i="1">
                                <a:solidFill>
                                  <a:srgbClr val="FF0000"/>
                                </a:solidFill>
                                <a:latin typeface="Cambria Math" panose="02040503050406030204" pitchFamily="18" charset="0"/>
                              </a:rPr>
                              <m:t>𝑃</m:t>
                            </m:r>
                          </m:e>
                          <m:sub>
                            <m:r>
                              <a:rPr lang="en-US" sz="1100" b="0" i="1">
                                <a:solidFill>
                                  <a:srgbClr val="FF0000"/>
                                </a:solidFill>
                                <a:latin typeface="Cambria Math" panose="02040503050406030204" pitchFamily="18" charset="0"/>
                              </a:rPr>
                              <m:t>2</m:t>
                            </m:r>
                          </m:sub>
                        </m:sSub>
                      </m:num>
                      <m:den>
                        <m:sSub>
                          <m:sSubPr>
                            <m:ctrlPr>
                              <a:rPr lang="en-IN" sz="1100" i="1">
                                <a:solidFill>
                                  <a:srgbClr val="FF0000"/>
                                </a:solidFill>
                                <a:latin typeface="Cambria Math" panose="02040503050406030204" pitchFamily="18" charset="0"/>
                              </a:rPr>
                            </m:ctrlPr>
                          </m:sSubPr>
                          <m:e>
                            <m:r>
                              <a:rPr lang="en-US" sz="1100" b="0" i="1">
                                <a:solidFill>
                                  <a:srgbClr val="FF0000"/>
                                </a:solidFill>
                                <a:latin typeface="Cambria Math" panose="02040503050406030204" pitchFamily="18" charset="0"/>
                              </a:rPr>
                              <m:t>𝑃</m:t>
                            </m:r>
                          </m:e>
                          <m:sub>
                            <m:r>
                              <a:rPr lang="en-US" sz="1100" b="0" i="1">
                                <a:solidFill>
                                  <a:srgbClr val="FF0000"/>
                                </a:solidFill>
                                <a:latin typeface="Cambria Math" panose="02040503050406030204" pitchFamily="18" charset="0"/>
                              </a:rPr>
                              <m:t>1</m:t>
                            </m:r>
                          </m:sub>
                        </m:sSub>
                      </m:den>
                    </m:f>
                    <m:r>
                      <a:rPr lang="en-US" sz="1100" b="0" i="1">
                        <a:solidFill>
                          <a:srgbClr val="FF0000"/>
                        </a:solidFill>
                        <a:latin typeface="Cambria Math" panose="02040503050406030204" pitchFamily="18" charset="0"/>
                      </a:rPr>
                      <m:t>−1</m:t>
                    </m:r>
                  </m:oMath>
                </m:oMathPara>
              </a14:m>
              <a:endParaRPr lang="en-IN" sz="1100">
                <a:solidFill>
                  <a:srgbClr val="FF0000"/>
                </a:solidFill>
              </a:endParaRPr>
            </a:p>
          </xdr:txBody>
        </xdr:sp>
      </mc:Choice>
      <mc:Fallback>
        <xdr:sp macro="" textlink="">
          <xdr:nvSpPr>
            <xdr:cNvPr id="2" name="TextBox 1">
              <a:extLst>
                <a:ext uri="{FF2B5EF4-FFF2-40B4-BE49-F238E27FC236}">
                  <a16:creationId xmlns:a16="http://schemas.microsoft.com/office/drawing/2014/main" id="{B5CB0FEB-AF7D-469D-84BE-AE2906A8E8C4}"/>
                </a:ext>
              </a:extLst>
            </xdr:cNvPr>
            <xdr:cNvSpPr txBox="1"/>
          </xdr:nvSpPr>
          <xdr:spPr>
            <a:xfrm>
              <a:off x="10026650" y="34924"/>
              <a:ext cx="708025" cy="3445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solidFill>
                    <a:srgbClr val="FF0000"/>
                  </a:solidFill>
                  <a:latin typeface="Cambria Math" panose="02040503050406030204" pitchFamily="18" charset="0"/>
                </a:rPr>
                <a:t>𝑟=𝑃</a:t>
              </a:r>
              <a:r>
                <a:rPr lang="en-IN" sz="1100" b="0" i="0">
                  <a:solidFill>
                    <a:srgbClr val="FF0000"/>
                  </a:solidFill>
                  <a:latin typeface="Cambria Math" panose="02040503050406030204" pitchFamily="18" charset="0"/>
                </a:rPr>
                <a:t>_</a:t>
              </a:r>
              <a:r>
                <a:rPr lang="en-US" sz="1100" b="0" i="0">
                  <a:solidFill>
                    <a:srgbClr val="FF0000"/>
                  </a:solidFill>
                  <a:latin typeface="Cambria Math" panose="02040503050406030204" pitchFamily="18" charset="0"/>
                </a:rPr>
                <a:t>2</a:t>
              </a:r>
              <a:r>
                <a:rPr lang="en-IN" sz="1100" b="0" i="0">
                  <a:solidFill>
                    <a:srgbClr val="FF0000"/>
                  </a:solidFill>
                  <a:latin typeface="Cambria Math" panose="02040503050406030204" pitchFamily="18" charset="0"/>
                </a:rPr>
                <a:t>/</a:t>
              </a:r>
              <a:r>
                <a:rPr lang="en-US" sz="1100" b="0" i="0">
                  <a:solidFill>
                    <a:srgbClr val="FF0000"/>
                  </a:solidFill>
                  <a:latin typeface="Cambria Math" panose="02040503050406030204" pitchFamily="18" charset="0"/>
                </a:rPr>
                <a:t>𝑃</a:t>
              </a:r>
              <a:r>
                <a:rPr lang="en-IN" sz="1100" b="0" i="0">
                  <a:solidFill>
                    <a:srgbClr val="FF0000"/>
                  </a:solidFill>
                  <a:latin typeface="Cambria Math" panose="02040503050406030204" pitchFamily="18" charset="0"/>
                </a:rPr>
                <a:t>_</a:t>
              </a:r>
              <a:r>
                <a:rPr lang="en-US" sz="1100" b="0" i="0">
                  <a:solidFill>
                    <a:srgbClr val="FF0000"/>
                  </a:solidFill>
                  <a:latin typeface="Cambria Math" panose="02040503050406030204" pitchFamily="18" charset="0"/>
                </a:rPr>
                <a:t>1 −1</a:t>
              </a:r>
              <a:endParaRPr lang="en-IN" sz="1100">
                <a:solidFill>
                  <a:srgbClr val="FF0000"/>
                </a:solidFill>
              </a:endParaRPr>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8</xdr:col>
      <xdr:colOff>104775</xdr:colOff>
      <xdr:row>0</xdr:row>
      <xdr:rowOff>136525</xdr:rowOff>
    </xdr:from>
    <xdr:ext cx="880946" cy="341825"/>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36F835DC-B18A-4031-83E1-1DFF8E007E43}"/>
                </a:ext>
              </a:extLst>
            </xdr:cNvPr>
            <xdr:cNvSpPr txBox="1"/>
          </xdr:nvSpPr>
          <xdr:spPr>
            <a:xfrm>
              <a:off x="6562725" y="136525"/>
              <a:ext cx="880946" cy="3418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solidFill>
                          <a:srgbClr val="FF0000"/>
                        </a:solidFill>
                        <a:latin typeface="Cambria Math" panose="02040503050406030204" pitchFamily="18" charset="0"/>
                      </a:rPr>
                      <m:t>𝑆</m:t>
                    </m:r>
                    <m:r>
                      <a:rPr lang="en-US" sz="1100" b="0" i="1">
                        <a:solidFill>
                          <a:srgbClr val="FF0000"/>
                        </a:solidFill>
                        <a:latin typeface="Cambria Math" panose="02040503050406030204" pitchFamily="18" charset="0"/>
                      </a:rPr>
                      <m:t>.</m:t>
                    </m:r>
                    <m:r>
                      <a:rPr lang="en-US" sz="1100" b="0" i="1">
                        <a:solidFill>
                          <a:srgbClr val="FF0000"/>
                        </a:solidFill>
                        <a:latin typeface="Cambria Math" panose="02040503050406030204" pitchFamily="18" charset="0"/>
                      </a:rPr>
                      <m:t>𝑅</m:t>
                    </m:r>
                    <m:r>
                      <a:rPr lang="en-US" sz="1100" b="0" i="1">
                        <a:solidFill>
                          <a:srgbClr val="FF0000"/>
                        </a:solidFill>
                        <a:latin typeface="Cambria Math" panose="02040503050406030204" pitchFamily="18" charset="0"/>
                      </a:rPr>
                      <m:t>. = </m:t>
                    </m:r>
                    <m:f>
                      <m:fPr>
                        <m:ctrlPr>
                          <a:rPr lang="en-US" sz="1100" b="0" i="1">
                            <a:solidFill>
                              <a:srgbClr val="FF0000"/>
                            </a:solidFill>
                            <a:latin typeface="Cambria Math" panose="02040503050406030204" pitchFamily="18" charset="0"/>
                          </a:rPr>
                        </m:ctrlPr>
                      </m:fPr>
                      <m:num>
                        <m:sSub>
                          <m:sSubPr>
                            <m:ctrlPr>
                              <a:rPr lang="en-US" sz="1100" b="0" i="1">
                                <a:solidFill>
                                  <a:srgbClr val="FF0000"/>
                                </a:solidFill>
                                <a:latin typeface="Cambria Math" panose="02040503050406030204" pitchFamily="18" charset="0"/>
                              </a:rPr>
                            </m:ctrlPr>
                          </m:sSubPr>
                          <m:e>
                            <m:r>
                              <a:rPr lang="en-US" sz="1100" b="0" i="1">
                                <a:solidFill>
                                  <a:srgbClr val="FF0000"/>
                                </a:solidFill>
                                <a:latin typeface="Cambria Math" panose="02040503050406030204" pitchFamily="18" charset="0"/>
                              </a:rPr>
                              <m:t>𝑟</m:t>
                            </m:r>
                          </m:e>
                          <m:sub>
                            <m:r>
                              <a:rPr lang="en-US" sz="1100" b="0" i="1">
                                <a:solidFill>
                                  <a:srgbClr val="FF0000"/>
                                </a:solidFill>
                                <a:latin typeface="Cambria Math" panose="02040503050406030204" pitchFamily="18" charset="0"/>
                              </a:rPr>
                              <m:t>𝑝</m:t>
                            </m:r>
                          </m:sub>
                        </m:sSub>
                        <m:r>
                          <a:rPr lang="en-US" sz="1100" b="0" i="1">
                            <a:solidFill>
                              <a:srgbClr val="FF0000"/>
                            </a:solidFill>
                            <a:latin typeface="Cambria Math" panose="02040503050406030204" pitchFamily="18" charset="0"/>
                          </a:rPr>
                          <m:t>−</m:t>
                        </m:r>
                        <m:sSub>
                          <m:sSubPr>
                            <m:ctrlPr>
                              <a:rPr lang="en-US" sz="1100" b="0" i="1">
                                <a:solidFill>
                                  <a:srgbClr val="FF0000"/>
                                </a:solidFill>
                                <a:latin typeface="Cambria Math" panose="02040503050406030204" pitchFamily="18" charset="0"/>
                              </a:rPr>
                            </m:ctrlPr>
                          </m:sSubPr>
                          <m:e>
                            <m:r>
                              <a:rPr lang="en-US" sz="1100" b="0" i="1">
                                <a:solidFill>
                                  <a:srgbClr val="FF0000"/>
                                </a:solidFill>
                                <a:latin typeface="Cambria Math" panose="02040503050406030204" pitchFamily="18" charset="0"/>
                              </a:rPr>
                              <m:t>𝑟</m:t>
                            </m:r>
                          </m:e>
                          <m:sub>
                            <m:r>
                              <a:rPr lang="en-US" sz="1100" b="0" i="1">
                                <a:solidFill>
                                  <a:srgbClr val="FF0000"/>
                                </a:solidFill>
                                <a:latin typeface="Cambria Math" panose="02040503050406030204" pitchFamily="18" charset="0"/>
                              </a:rPr>
                              <m:t>𝑓</m:t>
                            </m:r>
                          </m:sub>
                        </m:sSub>
                      </m:num>
                      <m:den>
                        <m:sSub>
                          <m:sSubPr>
                            <m:ctrlPr>
                              <a:rPr lang="en-US" sz="1100" b="0" i="1">
                                <a:solidFill>
                                  <a:srgbClr val="FF0000"/>
                                </a:solidFill>
                                <a:latin typeface="Cambria Math" panose="02040503050406030204" pitchFamily="18" charset="0"/>
                              </a:rPr>
                            </m:ctrlPr>
                          </m:sSubPr>
                          <m:e>
                            <m:r>
                              <a:rPr lang="en-US" sz="1100" b="0" i="1">
                                <a:solidFill>
                                  <a:srgbClr val="FF0000"/>
                                </a:solidFill>
                                <a:latin typeface="Cambria Math" panose="02040503050406030204" pitchFamily="18" charset="0"/>
                                <a:ea typeface="Cambria Math" panose="02040503050406030204" pitchFamily="18" charset="0"/>
                              </a:rPr>
                              <m:t>𝜎</m:t>
                            </m:r>
                          </m:e>
                          <m:sub>
                            <m:r>
                              <a:rPr lang="en-US" sz="1100" b="0" i="1">
                                <a:solidFill>
                                  <a:srgbClr val="FF0000"/>
                                </a:solidFill>
                                <a:latin typeface="Cambria Math" panose="02040503050406030204" pitchFamily="18" charset="0"/>
                              </a:rPr>
                              <m:t>𝑝</m:t>
                            </m:r>
                          </m:sub>
                        </m:sSub>
                      </m:den>
                    </m:f>
                  </m:oMath>
                </m:oMathPara>
              </a14:m>
              <a:endParaRPr lang="en-IN" sz="1100">
                <a:solidFill>
                  <a:srgbClr val="FF0000"/>
                </a:solidFill>
              </a:endParaRPr>
            </a:p>
          </xdr:txBody>
        </xdr:sp>
      </mc:Choice>
      <mc:Fallback>
        <xdr:sp macro="" textlink="">
          <xdr:nvSpPr>
            <xdr:cNvPr id="2" name="TextBox 1">
              <a:extLst>
                <a:ext uri="{FF2B5EF4-FFF2-40B4-BE49-F238E27FC236}">
                  <a16:creationId xmlns:a16="http://schemas.microsoft.com/office/drawing/2014/main" id="{36F835DC-B18A-4031-83E1-1DFF8E007E43}"/>
                </a:ext>
              </a:extLst>
            </xdr:cNvPr>
            <xdr:cNvSpPr txBox="1"/>
          </xdr:nvSpPr>
          <xdr:spPr>
            <a:xfrm>
              <a:off x="6562725" y="136525"/>
              <a:ext cx="880946" cy="3418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FF0000"/>
                  </a:solidFill>
                  <a:latin typeface="Cambria Math" panose="02040503050406030204" pitchFamily="18" charset="0"/>
                </a:rPr>
                <a:t>𝑆.𝑅. =  (𝑟_𝑝−𝑟_𝑓)/</a:t>
              </a:r>
              <a:r>
                <a:rPr lang="en-US" sz="1100" b="0" i="0">
                  <a:solidFill>
                    <a:srgbClr val="FF0000"/>
                  </a:solidFill>
                  <a:latin typeface="Cambria Math" panose="02040503050406030204" pitchFamily="18" charset="0"/>
                  <a:ea typeface="Cambria Math" panose="02040503050406030204" pitchFamily="18" charset="0"/>
                </a:rPr>
                <a:t>𝜎_</a:t>
              </a:r>
              <a:r>
                <a:rPr lang="en-US" sz="1100" b="0" i="0">
                  <a:solidFill>
                    <a:srgbClr val="FF0000"/>
                  </a:solidFill>
                  <a:latin typeface="Cambria Math" panose="02040503050406030204" pitchFamily="18" charset="0"/>
                </a:rPr>
                <a:t>𝑝 </a:t>
              </a:r>
              <a:endParaRPr lang="en-IN" sz="1100">
                <a:solidFill>
                  <a:srgbClr val="FF0000"/>
                </a:solidFill>
              </a:endParaRPr>
            </a:p>
          </xdr:txBody>
        </xdr:sp>
      </mc:Fallback>
    </mc:AlternateContent>
    <xdr:clientData/>
  </xdr:oneCellAnchor>
  <xdr:oneCellAnchor>
    <xdr:from>
      <xdr:col>8</xdr:col>
      <xdr:colOff>28575</xdr:colOff>
      <xdr:row>3</xdr:row>
      <xdr:rowOff>9525</xdr:rowOff>
    </xdr:from>
    <xdr:ext cx="2819554" cy="185756"/>
    <mc:AlternateContent xmlns:mc="http://schemas.openxmlformats.org/markup-compatibility/2006">
      <mc:Choice xmlns:a14="http://schemas.microsoft.com/office/drawing/2010/main" Requires="a14">
        <xdr:sp macro="" textlink="">
          <xdr:nvSpPr>
            <xdr:cNvPr id="3" name="TextBox 2">
              <a:extLst>
                <a:ext uri="{FF2B5EF4-FFF2-40B4-BE49-F238E27FC236}">
                  <a16:creationId xmlns:a16="http://schemas.microsoft.com/office/drawing/2014/main" id="{C1DF5323-FF40-40A9-BE14-A1DBD9066D87}"/>
                </a:ext>
              </a:extLst>
            </xdr:cNvPr>
            <xdr:cNvSpPr txBox="1"/>
          </xdr:nvSpPr>
          <xdr:spPr>
            <a:xfrm>
              <a:off x="6486525" y="495300"/>
              <a:ext cx="2819554"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IN" sz="1100" i="1">
                            <a:solidFill>
                              <a:srgbClr val="FF0000"/>
                            </a:solidFill>
                            <a:latin typeface="Cambria Math" panose="02040503050406030204" pitchFamily="18" charset="0"/>
                          </a:rPr>
                        </m:ctrlPr>
                      </m:sSupPr>
                      <m:e>
                        <m:sSub>
                          <m:sSubPr>
                            <m:ctrlPr>
                              <a:rPr lang="en-IN" sz="1100" i="1">
                                <a:solidFill>
                                  <a:srgbClr val="FF0000"/>
                                </a:solidFill>
                                <a:latin typeface="Cambria Math" panose="02040503050406030204" pitchFamily="18" charset="0"/>
                              </a:rPr>
                            </m:ctrlPr>
                          </m:sSubPr>
                          <m:e>
                            <m:r>
                              <a:rPr lang="en-IN" sz="1100" i="1">
                                <a:solidFill>
                                  <a:srgbClr val="FF0000"/>
                                </a:solidFill>
                                <a:latin typeface="Cambria Math" panose="02040503050406030204" pitchFamily="18" charset="0"/>
                                <a:ea typeface="Cambria Math" panose="02040503050406030204" pitchFamily="18" charset="0"/>
                              </a:rPr>
                              <m:t>𝜎</m:t>
                            </m:r>
                          </m:e>
                          <m:sub>
                            <m:r>
                              <a:rPr lang="en-US" sz="1100" b="0" i="1">
                                <a:solidFill>
                                  <a:srgbClr val="FF0000"/>
                                </a:solidFill>
                                <a:latin typeface="Cambria Math" panose="02040503050406030204" pitchFamily="18" charset="0"/>
                              </a:rPr>
                              <m:t>𝑝</m:t>
                            </m:r>
                          </m:sub>
                        </m:sSub>
                      </m:e>
                      <m:sup>
                        <m:r>
                          <a:rPr lang="en-US" sz="1100" b="0" i="1">
                            <a:solidFill>
                              <a:srgbClr val="FF0000"/>
                            </a:solidFill>
                            <a:latin typeface="Cambria Math" panose="02040503050406030204" pitchFamily="18" charset="0"/>
                          </a:rPr>
                          <m:t>2</m:t>
                        </m:r>
                      </m:sup>
                    </m:sSup>
                    <m:r>
                      <a:rPr lang="en-US" sz="1100" b="0" i="1">
                        <a:solidFill>
                          <a:srgbClr val="FF0000"/>
                        </a:solidFill>
                        <a:latin typeface="Cambria Math" panose="02040503050406030204" pitchFamily="18" charset="0"/>
                      </a:rPr>
                      <m:t>=</m:t>
                    </m:r>
                    <m:sSup>
                      <m:sSupPr>
                        <m:ctrlPr>
                          <a:rPr lang="en-US" sz="1100" b="0" i="1">
                            <a:solidFill>
                              <a:srgbClr val="FF0000"/>
                            </a:solidFill>
                            <a:latin typeface="Cambria Math" panose="02040503050406030204" pitchFamily="18" charset="0"/>
                          </a:rPr>
                        </m:ctrlPr>
                      </m:sSupPr>
                      <m:e>
                        <m:r>
                          <a:rPr lang="en-US" sz="1100" b="0" i="1">
                            <a:solidFill>
                              <a:srgbClr val="FF0000"/>
                            </a:solidFill>
                            <a:latin typeface="Cambria Math" panose="02040503050406030204" pitchFamily="18" charset="0"/>
                          </a:rPr>
                          <m:t>(</m:t>
                        </m:r>
                        <m:sSub>
                          <m:sSubPr>
                            <m:ctrlPr>
                              <a:rPr lang="en-US" sz="1100" b="0" i="1">
                                <a:solidFill>
                                  <a:srgbClr val="FF0000"/>
                                </a:solidFill>
                                <a:latin typeface="Cambria Math" panose="02040503050406030204" pitchFamily="18" charset="0"/>
                              </a:rPr>
                            </m:ctrlPr>
                          </m:sSubPr>
                          <m:e>
                            <m:r>
                              <a:rPr lang="en-US" sz="1100" b="0" i="1">
                                <a:solidFill>
                                  <a:srgbClr val="FF0000"/>
                                </a:solidFill>
                                <a:latin typeface="Cambria Math" panose="02040503050406030204" pitchFamily="18" charset="0"/>
                              </a:rPr>
                              <m:t>𝑤</m:t>
                            </m:r>
                          </m:e>
                          <m:sub>
                            <m:r>
                              <a:rPr lang="en-US" sz="1100" b="0" i="1">
                                <a:solidFill>
                                  <a:srgbClr val="FF0000"/>
                                </a:solidFill>
                                <a:latin typeface="Cambria Math" panose="02040503050406030204" pitchFamily="18" charset="0"/>
                              </a:rPr>
                              <m:t>𝐴</m:t>
                            </m:r>
                          </m:sub>
                        </m:sSub>
                        <m:sSub>
                          <m:sSubPr>
                            <m:ctrlPr>
                              <a:rPr lang="en-US" sz="1100" b="0" i="1">
                                <a:solidFill>
                                  <a:srgbClr val="FF0000"/>
                                </a:solidFill>
                                <a:latin typeface="Cambria Math" panose="02040503050406030204" pitchFamily="18" charset="0"/>
                              </a:rPr>
                            </m:ctrlPr>
                          </m:sSubPr>
                          <m:e>
                            <m:r>
                              <a:rPr lang="en-US" sz="1100" b="0" i="1">
                                <a:solidFill>
                                  <a:srgbClr val="FF0000"/>
                                </a:solidFill>
                                <a:latin typeface="Cambria Math" panose="02040503050406030204" pitchFamily="18" charset="0"/>
                                <a:ea typeface="Cambria Math" panose="02040503050406030204" pitchFamily="18" charset="0"/>
                              </a:rPr>
                              <m:t>𝜎</m:t>
                            </m:r>
                          </m:e>
                          <m:sub>
                            <m:r>
                              <a:rPr lang="en-US" sz="1100" b="0" i="1">
                                <a:solidFill>
                                  <a:srgbClr val="FF0000"/>
                                </a:solidFill>
                                <a:latin typeface="Cambria Math" panose="02040503050406030204" pitchFamily="18" charset="0"/>
                              </a:rPr>
                              <m:t>𝐴</m:t>
                            </m:r>
                          </m:sub>
                        </m:sSub>
                        <m:r>
                          <a:rPr lang="en-US" sz="1100" b="0" i="1">
                            <a:solidFill>
                              <a:srgbClr val="FF0000"/>
                            </a:solidFill>
                            <a:latin typeface="Cambria Math" panose="02040503050406030204" pitchFamily="18" charset="0"/>
                          </a:rPr>
                          <m:t>)</m:t>
                        </m:r>
                      </m:e>
                      <m:sup>
                        <m:r>
                          <a:rPr lang="en-US" sz="1100" b="0" i="1">
                            <a:solidFill>
                              <a:srgbClr val="FF0000"/>
                            </a:solidFill>
                            <a:latin typeface="Cambria Math" panose="02040503050406030204" pitchFamily="18" charset="0"/>
                          </a:rPr>
                          <m:t>2</m:t>
                        </m:r>
                      </m:sup>
                    </m:sSup>
                    <m:r>
                      <a:rPr lang="en-US" sz="1100" b="0" i="1">
                        <a:solidFill>
                          <a:srgbClr val="FF0000"/>
                        </a:solidFill>
                        <a:latin typeface="Cambria Math" panose="02040503050406030204" pitchFamily="18" charset="0"/>
                      </a:rPr>
                      <m:t>+</m:t>
                    </m:r>
                    <m:sSup>
                      <m:sSupPr>
                        <m:ctrlPr>
                          <a:rPr lang="en-US" sz="1100" b="0" i="1">
                            <a:solidFill>
                              <a:srgbClr val="FF0000"/>
                            </a:solidFill>
                            <a:latin typeface="Cambria Math" panose="02040503050406030204" pitchFamily="18" charset="0"/>
                          </a:rPr>
                        </m:ctrlPr>
                      </m:sSupPr>
                      <m:e>
                        <m:r>
                          <a:rPr lang="en-US" sz="1100" b="0" i="1">
                            <a:solidFill>
                              <a:srgbClr val="FF0000"/>
                            </a:solidFill>
                            <a:latin typeface="Cambria Math" panose="02040503050406030204" pitchFamily="18" charset="0"/>
                          </a:rPr>
                          <m:t>(</m:t>
                        </m:r>
                        <m:sSub>
                          <m:sSubPr>
                            <m:ctrlPr>
                              <a:rPr lang="en-US" sz="1100" b="0" i="1">
                                <a:solidFill>
                                  <a:srgbClr val="FF0000"/>
                                </a:solidFill>
                                <a:latin typeface="Cambria Math" panose="02040503050406030204" pitchFamily="18" charset="0"/>
                              </a:rPr>
                            </m:ctrlPr>
                          </m:sSubPr>
                          <m:e>
                            <m:r>
                              <a:rPr lang="en-US" sz="1100" b="0" i="1">
                                <a:solidFill>
                                  <a:srgbClr val="FF0000"/>
                                </a:solidFill>
                                <a:latin typeface="Cambria Math" panose="02040503050406030204" pitchFamily="18" charset="0"/>
                              </a:rPr>
                              <m:t>𝑤</m:t>
                            </m:r>
                          </m:e>
                          <m:sub>
                            <m:r>
                              <a:rPr lang="en-US" sz="1100" b="0" i="1">
                                <a:solidFill>
                                  <a:srgbClr val="FF0000"/>
                                </a:solidFill>
                                <a:latin typeface="Cambria Math" panose="02040503050406030204" pitchFamily="18" charset="0"/>
                              </a:rPr>
                              <m:t>𝐵</m:t>
                            </m:r>
                          </m:sub>
                        </m:sSub>
                        <m:sSub>
                          <m:sSubPr>
                            <m:ctrlPr>
                              <a:rPr lang="en-US" sz="1100" b="0" i="1">
                                <a:solidFill>
                                  <a:srgbClr val="FF0000"/>
                                </a:solidFill>
                                <a:latin typeface="Cambria Math" panose="02040503050406030204" pitchFamily="18" charset="0"/>
                              </a:rPr>
                            </m:ctrlPr>
                          </m:sSubPr>
                          <m:e>
                            <m:r>
                              <a:rPr lang="en-US" sz="1100" b="0" i="1">
                                <a:solidFill>
                                  <a:srgbClr val="FF0000"/>
                                </a:solidFill>
                                <a:latin typeface="Cambria Math" panose="02040503050406030204" pitchFamily="18" charset="0"/>
                                <a:ea typeface="Cambria Math" panose="02040503050406030204" pitchFamily="18" charset="0"/>
                              </a:rPr>
                              <m:t>𝜎</m:t>
                            </m:r>
                          </m:e>
                          <m:sub>
                            <m:r>
                              <a:rPr lang="en-US" sz="1100" b="0" i="1">
                                <a:solidFill>
                                  <a:srgbClr val="FF0000"/>
                                </a:solidFill>
                                <a:latin typeface="Cambria Math" panose="02040503050406030204" pitchFamily="18" charset="0"/>
                              </a:rPr>
                              <m:t>𝐵</m:t>
                            </m:r>
                          </m:sub>
                        </m:sSub>
                        <m:r>
                          <a:rPr lang="en-US" sz="1100" b="0" i="1">
                            <a:solidFill>
                              <a:srgbClr val="FF0000"/>
                            </a:solidFill>
                            <a:latin typeface="Cambria Math" panose="02040503050406030204" pitchFamily="18" charset="0"/>
                          </a:rPr>
                          <m:t>)</m:t>
                        </m:r>
                      </m:e>
                      <m:sup>
                        <m:r>
                          <a:rPr lang="en-US" sz="1100" b="0" i="1">
                            <a:solidFill>
                              <a:srgbClr val="FF0000"/>
                            </a:solidFill>
                            <a:latin typeface="Cambria Math" panose="02040503050406030204" pitchFamily="18" charset="0"/>
                          </a:rPr>
                          <m:t>2</m:t>
                        </m:r>
                      </m:sup>
                    </m:sSup>
                    <m:r>
                      <a:rPr lang="en-US" sz="1100" b="0" i="1">
                        <a:solidFill>
                          <a:srgbClr val="FF0000"/>
                        </a:solidFill>
                        <a:latin typeface="Cambria Math" panose="02040503050406030204" pitchFamily="18" charset="0"/>
                      </a:rPr>
                      <m:t>+2(</m:t>
                    </m:r>
                    <m:sSub>
                      <m:sSubPr>
                        <m:ctrlPr>
                          <a:rPr lang="en-US" sz="1100" b="0" i="1">
                            <a:solidFill>
                              <a:srgbClr val="FF0000"/>
                            </a:solidFill>
                            <a:latin typeface="Cambria Math" panose="02040503050406030204" pitchFamily="18" charset="0"/>
                          </a:rPr>
                        </m:ctrlPr>
                      </m:sSubPr>
                      <m:e>
                        <m:r>
                          <a:rPr lang="en-US" sz="1100" b="0" i="1">
                            <a:solidFill>
                              <a:srgbClr val="FF0000"/>
                            </a:solidFill>
                            <a:latin typeface="Cambria Math" panose="02040503050406030204" pitchFamily="18" charset="0"/>
                          </a:rPr>
                          <m:t>𝑤</m:t>
                        </m:r>
                      </m:e>
                      <m:sub>
                        <m:r>
                          <a:rPr lang="en-US" sz="1100" b="0" i="1">
                            <a:solidFill>
                              <a:srgbClr val="FF0000"/>
                            </a:solidFill>
                            <a:latin typeface="Cambria Math" panose="02040503050406030204" pitchFamily="18" charset="0"/>
                          </a:rPr>
                          <m:t>𝐴</m:t>
                        </m:r>
                      </m:sub>
                    </m:sSub>
                    <m:sSub>
                      <m:sSubPr>
                        <m:ctrlPr>
                          <a:rPr lang="en-US" sz="1100" b="0" i="1">
                            <a:solidFill>
                              <a:srgbClr val="FF0000"/>
                            </a:solidFill>
                            <a:latin typeface="Cambria Math" panose="02040503050406030204" pitchFamily="18" charset="0"/>
                          </a:rPr>
                        </m:ctrlPr>
                      </m:sSubPr>
                      <m:e>
                        <m:r>
                          <a:rPr lang="en-US" sz="1100" b="0" i="1">
                            <a:solidFill>
                              <a:srgbClr val="FF0000"/>
                            </a:solidFill>
                            <a:latin typeface="Cambria Math" panose="02040503050406030204" pitchFamily="18" charset="0"/>
                            <a:ea typeface="Cambria Math" panose="02040503050406030204" pitchFamily="18" charset="0"/>
                          </a:rPr>
                          <m:t>𝜎</m:t>
                        </m:r>
                      </m:e>
                      <m:sub>
                        <m:r>
                          <a:rPr lang="en-US" sz="1100" b="0" i="1">
                            <a:solidFill>
                              <a:srgbClr val="FF0000"/>
                            </a:solidFill>
                            <a:latin typeface="Cambria Math" panose="02040503050406030204" pitchFamily="18" charset="0"/>
                          </a:rPr>
                          <m:t>𝐴</m:t>
                        </m:r>
                      </m:sub>
                    </m:sSub>
                    <m:r>
                      <a:rPr lang="en-US" sz="1100" b="0" i="1">
                        <a:solidFill>
                          <a:srgbClr val="FF0000"/>
                        </a:solidFill>
                        <a:latin typeface="Cambria Math" panose="02040503050406030204" pitchFamily="18" charset="0"/>
                      </a:rPr>
                      <m:t>)(</m:t>
                    </m:r>
                    <m:sSub>
                      <m:sSubPr>
                        <m:ctrlPr>
                          <a:rPr lang="en-US" sz="1100" b="0" i="1">
                            <a:solidFill>
                              <a:srgbClr val="FF0000"/>
                            </a:solidFill>
                            <a:latin typeface="Cambria Math" panose="02040503050406030204" pitchFamily="18" charset="0"/>
                          </a:rPr>
                        </m:ctrlPr>
                      </m:sSubPr>
                      <m:e>
                        <m:r>
                          <a:rPr lang="en-US" sz="1100" b="0" i="1">
                            <a:solidFill>
                              <a:srgbClr val="FF0000"/>
                            </a:solidFill>
                            <a:latin typeface="Cambria Math" panose="02040503050406030204" pitchFamily="18" charset="0"/>
                          </a:rPr>
                          <m:t>𝑤</m:t>
                        </m:r>
                      </m:e>
                      <m:sub>
                        <m:r>
                          <a:rPr lang="en-US" sz="1100" b="0" i="1">
                            <a:solidFill>
                              <a:srgbClr val="FF0000"/>
                            </a:solidFill>
                            <a:latin typeface="Cambria Math" panose="02040503050406030204" pitchFamily="18" charset="0"/>
                          </a:rPr>
                          <m:t>𝐵</m:t>
                        </m:r>
                      </m:sub>
                    </m:sSub>
                    <m:sSub>
                      <m:sSubPr>
                        <m:ctrlPr>
                          <a:rPr lang="en-US" sz="1100" b="0" i="1">
                            <a:solidFill>
                              <a:srgbClr val="FF0000"/>
                            </a:solidFill>
                            <a:latin typeface="Cambria Math" panose="02040503050406030204" pitchFamily="18" charset="0"/>
                          </a:rPr>
                        </m:ctrlPr>
                      </m:sSubPr>
                      <m:e>
                        <m:r>
                          <a:rPr lang="en-US" sz="1100" b="0" i="1">
                            <a:solidFill>
                              <a:srgbClr val="FF0000"/>
                            </a:solidFill>
                            <a:latin typeface="Cambria Math" panose="02040503050406030204" pitchFamily="18" charset="0"/>
                            <a:ea typeface="Cambria Math" panose="02040503050406030204" pitchFamily="18" charset="0"/>
                          </a:rPr>
                          <m:t>𝜎</m:t>
                        </m:r>
                      </m:e>
                      <m:sub>
                        <m:r>
                          <a:rPr lang="en-US" sz="1100" b="0" i="1">
                            <a:solidFill>
                              <a:srgbClr val="FF0000"/>
                            </a:solidFill>
                            <a:latin typeface="Cambria Math" panose="02040503050406030204" pitchFamily="18" charset="0"/>
                          </a:rPr>
                          <m:t>𝐵</m:t>
                        </m:r>
                      </m:sub>
                    </m:sSub>
                    <m:r>
                      <a:rPr lang="en-US" sz="1100" b="0" i="1">
                        <a:solidFill>
                          <a:srgbClr val="FF0000"/>
                        </a:solidFill>
                        <a:latin typeface="Cambria Math" panose="02040503050406030204" pitchFamily="18" charset="0"/>
                      </a:rPr>
                      <m:t>)</m:t>
                    </m:r>
                    <m:sSub>
                      <m:sSubPr>
                        <m:ctrlPr>
                          <a:rPr lang="en-US" sz="1100" b="0" i="1">
                            <a:solidFill>
                              <a:srgbClr val="FF0000"/>
                            </a:solidFill>
                            <a:latin typeface="Cambria Math" panose="02040503050406030204" pitchFamily="18" charset="0"/>
                          </a:rPr>
                        </m:ctrlPr>
                      </m:sSubPr>
                      <m:e>
                        <m:r>
                          <a:rPr lang="en-US" sz="1100" b="0" i="1">
                            <a:solidFill>
                              <a:srgbClr val="FF0000"/>
                            </a:solidFill>
                            <a:latin typeface="Cambria Math" panose="02040503050406030204" pitchFamily="18" charset="0"/>
                            <a:ea typeface="Cambria Math" panose="02040503050406030204" pitchFamily="18" charset="0"/>
                          </a:rPr>
                          <m:t>𝜌</m:t>
                        </m:r>
                      </m:e>
                      <m:sub>
                        <m:r>
                          <a:rPr lang="en-US" sz="1100" b="0" i="1">
                            <a:solidFill>
                              <a:srgbClr val="FF0000"/>
                            </a:solidFill>
                            <a:latin typeface="Cambria Math" panose="02040503050406030204" pitchFamily="18" charset="0"/>
                          </a:rPr>
                          <m:t>𝐴</m:t>
                        </m:r>
                        <m:r>
                          <a:rPr lang="en-US" sz="1100" b="0" i="1">
                            <a:solidFill>
                              <a:srgbClr val="FF0000"/>
                            </a:solidFill>
                            <a:latin typeface="Cambria Math" panose="02040503050406030204" pitchFamily="18" charset="0"/>
                          </a:rPr>
                          <m:t>,</m:t>
                        </m:r>
                        <m:r>
                          <a:rPr lang="en-US" sz="1100" b="0" i="1">
                            <a:solidFill>
                              <a:srgbClr val="FF0000"/>
                            </a:solidFill>
                            <a:latin typeface="Cambria Math" panose="02040503050406030204" pitchFamily="18" charset="0"/>
                          </a:rPr>
                          <m:t>𝐵</m:t>
                        </m:r>
                      </m:sub>
                    </m:sSub>
                  </m:oMath>
                </m:oMathPara>
              </a14:m>
              <a:endParaRPr lang="en-IN" sz="1100">
                <a:solidFill>
                  <a:srgbClr val="FF0000"/>
                </a:solidFill>
              </a:endParaRPr>
            </a:p>
          </xdr:txBody>
        </xdr:sp>
      </mc:Choice>
      <mc:Fallback>
        <xdr:sp macro="" textlink="">
          <xdr:nvSpPr>
            <xdr:cNvPr id="3" name="TextBox 2">
              <a:extLst>
                <a:ext uri="{FF2B5EF4-FFF2-40B4-BE49-F238E27FC236}">
                  <a16:creationId xmlns:a16="http://schemas.microsoft.com/office/drawing/2014/main" id="{C1DF5323-FF40-40A9-BE14-A1DBD9066D87}"/>
                </a:ext>
              </a:extLst>
            </xdr:cNvPr>
            <xdr:cNvSpPr txBox="1"/>
          </xdr:nvSpPr>
          <xdr:spPr>
            <a:xfrm>
              <a:off x="6486525" y="495300"/>
              <a:ext cx="2819554"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IN" sz="1100" i="0">
                  <a:solidFill>
                    <a:srgbClr val="FF0000"/>
                  </a:solidFill>
                  <a:latin typeface="Cambria Math" panose="02040503050406030204" pitchFamily="18" charset="0"/>
                </a:rPr>
                <a:t>〖</a:t>
              </a:r>
              <a:r>
                <a:rPr lang="en-IN" sz="1100" i="0">
                  <a:solidFill>
                    <a:srgbClr val="FF0000"/>
                  </a:solidFill>
                  <a:latin typeface="Cambria Math" panose="02040503050406030204" pitchFamily="18" charset="0"/>
                  <a:ea typeface="Cambria Math" panose="02040503050406030204" pitchFamily="18" charset="0"/>
                </a:rPr>
                <a:t>𝜎_</a:t>
              </a:r>
              <a:r>
                <a:rPr lang="en-US" sz="1100" b="0" i="0">
                  <a:solidFill>
                    <a:srgbClr val="FF0000"/>
                  </a:solidFill>
                  <a:latin typeface="Cambria Math" panose="02040503050406030204" pitchFamily="18" charset="0"/>
                </a:rPr>
                <a:t>𝑝</a:t>
              </a:r>
              <a:r>
                <a:rPr lang="en-IN" sz="1100" b="0" i="0">
                  <a:solidFill>
                    <a:srgbClr val="FF0000"/>
                  </a:solidFill>
                  <a:latin typeface="Cambria Math" panose="02040503050406030204" pitchFamily="18" charset="0"/>
                </a:rPr>
                <a:t>〗^</a:t>
              </a:r>
              <a:r>
                <a:rPr lang="en-US" sz="1100" b="0" i="0">
                  <a:solidFill>
                    <a:srgbClr val="FF0000"/>
                  </a:solidFill>
                  <a:latin typeface="Cambria Math" panose="02040503050406030204" pitchFamily="18" charset="0"/>
                </a:rPr>
                <a:t>2=〖(𝑤_𝐴 </a:t>
              </a:r>
              <a:r>
                <a:rPr lang="en-US" sz="1100" b="0" i="0">
                  <a:solidFill>
                    <a:srgbClr val="FF0000"/>
                  </a:solidFill>
                  <a:latin typeface="Cambria Math" panose="02040503050406030204" pitchFamily="18" charset="0"/>
                  <a:ea typeface="Cambria Math" panose="02040503050406030204" pitchFamily="18" charset="0"/>
                </a:rPr>
                <a:t>𝜎_</a:t>
              </a:r>
              <a:r>
                <a:rPr lang="en-US" sz="1100" b="0" i="0">
                  <a:solidFill>
                    <a:srgbClr val="FF0000"/>
                  </a:solidFill>
                  <a:latin typeface="Cambria Math" panose="02040503050406030204" pitchFamily="18" charset="0"/>
                </a:rPr>
                <a:t>𝐴)〗^2+〖(𝑤_𝐵 </a:t>
              </a:r>
              <a:r>
                <a:rPr lang="en-US" sz="1100" b="0" i="0">
                  <a:solidFill>
                    <a:srgbClr val="FF0000"/>
                  </a:solidFill>
                  <a:latin typeface="Cambria Math" panose="02040503050406030204" pitchFamily="18" charset="0"/>
                  <a:ea typeface="Cambria Math" panose="02040503050406030204" pitchFamily="18" charset="0"/>
                </a:rPr>
                <a:t>𝜎_</a:t>
              </a:r>
              <a:r>
                <a:rPr lang="en-US" sz="1100" b="0" i="0">
                  <a:solidFill>
                    <a:srgbClr val="FF0000"/>
                  </a:solidFill>
                  <a:latin typeface="Cambria Math" panose="02040503050406030204" pitchFamily="18" charset="0"/>
                </a:rPr>
                <a:t>𝐵)〗^2+2(𝑤_𝐴 </a:t>
              </a:r>
              <a:r>
                <a:rPr lang="en-US" sz="1100" b="0" i="0">
                  <a:solidFill>
                    <a:srgbClr val="FF0000"/>
                  </a:solidFill>
                  <a:latin typeface="Cambria Math" panose="02040503050406030204" pitchFamily="18" charset="0"/>
                  <a:ea typeface="Cambria Math" panose="02040503050406030204" pitchFamily="18" charset="0"/>
                </a:rPr>
                <a:t>𝜎_</a:t>
              </a:r>
              <a:r>
                <a:rPr lang="en-US" sz="1100" b="0" i="0">
                  <a:solidFill>
                    <a:srgbClr val="FF0000"/>
                  </a:solidFill>
                  <a:latin typeface="Cambria Math" panose="02040503050406030204" pitchFamily="18" charset="0"/>
                </a:rPr>
                <a:t>𝐴)(𝑤_𝐵 </a:t>
              </a:r>
              <a:r>
                <a:rPr lang="en-US" sz="1100" b="0" i="0">
                  <a:solidFill>
                    <a:srgbClr val="FF0000"/>
                  </a:solidFill>
                  <a:latin typeface="Cambria Math" panose="02040503050406030204" pitchFamily="18" charset="0"/>
                  <a:ea typeface="Cambria Math" panose="02040503050406030204" pitchFamily="18" charset="0"/>
                </a:rPr>
                <a:t>𝜎_</a:t>
              </a:r>
              <a:r>
                <a:rPr lang="en-US" sz="1100" b="0" i="0">
                  <a:solidFill>
                    <a:srgbClr val="FF0000"/>
                  </a:solidFill>
                  <a:latin typeface="Cambria Math" panose="02040503050406030204" pitchFamily="18" charset="0"/>
                </a:rPr>
                <a:t>𝐵)</a:t>
              </a:r>
              <a:r>
                <a:rPr lang="en-US" sz="1100" b="0" i="0">
                  <a:solidFill>
                    <a:srgbClr val="FF0000"/>
                  </a:solidFill>
                  <a:latin typeface="Cambria Math" panose="02040503050406030204" pitchFamily="18" charset="0"/>
                  <a:ea typeface="Cambria Math" panose="02040503050406030204" pitchFamily="18" charset="0"/>
                </a:rPr>
                <a:t>𝜌_(</a:t>
              </a:r>
              <a:r>
                <a:rPr lang="en-US" sz="1100" b="0" i="0">
                  <a:solidFill>
                    <a:srgbClr val="FF0000"/>
                  </a:solidFill>
                  <a:latin typeface="Cambria Math" panose="02040503050406030204" pitchFamily="18" charset="0"/>
                </a:rPr>
                <a:t>𝐴,𝐵)</a:t>
              </a:r>
              <a:endParaRPr lang="en-IN" sz="1100">
                <a:solidFill>
                  <a:srgbClr val="FF0000"/>
                </a:solidFill>
              </a:endParaRPr>
            </a:p>
          </xdr:txBody>
        </xdr:sp>
      </mc:Fallback>
    </mc:AlternateContent>
    <xdr:clientData/>
  </xdr:oneCellAnchor>
  <xdr:oneCellAnchor>
    <xdr:from>
      <xdr:col>8</xdr:col>
      <xdr:colOff>66675</xdr:colOff>
      <xdr:row>5</xdr:row>
      <xdr:rowOff>31750</xdr:rowOff>
    </xdr:from>
    <xdr:ext cx="1666675" cy="185885"/>
    <mc:AlternateContent xmlns:mc="http://schemas.openxmlformats.org/markup-compatibility/2006">
      <mc:Choice xmlns:a14="http://schemas.microsoft.com/office/drawing/2010/main" Requires="a14">
        <xdr:sp macro="" textlink="">
          <xdr:nvSpPr>
            <xdr:cNvPr id="4" name="TextBox 3">
              <a:extLst>
                <a:ext uri="{FF2B5EF4-FFF2-40B4-BE49-F238E27FC236}">
                  <a16:creationId xmlns:a16="http://schemas.microsoft.com/office/drawing/2014/main" id="{2506971C-6463-4211-95F5-7DE24C861B42}"/>
                </a:ext>
              </a:extLst>
            </xdr:cNvPr>
            <xdr:cNvSpPr txBox="1"/>
          </xdr:nvSpPr>
          <xdr:spPr>
            <a:xfrm>
              <a:off x="6524625" y="841375"/>
              <a:ext cx="1666675" cy="18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solidFill>
                          <a:srgbClr val="FF0000"/>
                        </a:solidFill>
                        <a:latin typeface="Cambria Math" panose="02040503050406030204" pitchFamily="18" charset="0"/>
                      </a:rPr>
                      <m:t>𝐸</m:t>
                    </m:r>
                    <m:d>
                      <m:dPr>
                        <m:ctrlPr>
                          <a:rPr lang="en-US" sz="1100" b="0" i="1">
                            <a:solidFill>
                              <a:srgbClr val="FF0000"/>
                            </a:solidFill>
                            <a:latin typeface="Cambria Math" panose="02040503050406030204" pitchFamily="18" charset="0"/>
                          </a:rPr>
                        </m:ctrlPr>
                      </m:dPr>
                      <m:e>
                        <m:sSub>
                          <m:sSubPr>
                            <m:ctrlPr>
                              <a:rPr lang="en-US" sz="1100" b="0" i="1">
                                <a:solidFill>
                                  <a:srgbClr val="FF0000"/>
                                </a:solidFill>
                                <a:latin typeface="Cambria Math" panose="02040503050406030204" pitchFamily="18" charset="0"/>
                              </a:rPr>
                            </m:ctrlPr>
                          </m:sSubPr>
                          <m:e>
                            <m:r>
                              <a:rPr lang="en-US" sz="1100" b="0" i="1">
                                <a:solidFill>
                                  <a:srgbClr val="FF0000"/>
                                </a:solidFill>
                                <a:latin typeface="Cambria Math" panose="02040503050406030204" pitchFamily="18" charset="0"/>
                              </a:rPr>
                              <m:t>𝑟</m:t>
                            </m:r>
                          </m:e>
                          <m:sub>
                            <m:r>
                              <a:rPr lang="en-US" sz="1100" b="0" i="1">
                                <a:solidFill>
                                  <a:srgbClr val="FF0000"/>
                                </a:solidFill>
                                <a:latin typeface="Cambria Math" panose="02040503050406030204" pitchFamily="18" charset="0"/>
                              </a:rPr>
                              <m:t>𝑖</m:t>
                            </m:r>
                          </m:sub>
                        </m:sSub>
                      </m:e>
                    </m:d>
                    <m:r>
                      <a:rPr lang="en-US" sz="1100" b="0" i="1">
                        <a:solidFill>
                          <a:srgbClr val="FF0000"/>
                        </a:solidFill>
                        <a:latin typeface="Cambria Math" panose="02040503050406030204" pitchFamily="18" charset="0"/>
                      </a:rPr>
                      <m:t>=</m:t>
                    </m:r>
                    <m:sSub>
                      <m:sSubPr>
                        <m:ctrlPr>
                          <a:rPr lang="en-US" sz="1100" b="0" i="1">
                            <a:solidFill>
                              <a:srgbClr val="FF0000"/>
                            </a:solidFill>
                            <a:latin typeface="Cambria Math" panose="02040503050406030204" pitchFamily="18" charset="0"/>
                          </a:rPr>
                        </m:ctrlPr>
                      </m:sSubPr>
                      <m:e>
                        <m:r>
                          <a:rPr lang="en-US" sz="1100" b="0" i="1">
                            <a:solidFill>
                              <a:srgbClr val="FF0000"/>
                            </a:solidFill>
                            <a:latin typeface="Cambria Math" panose="02040503050406030204" pitchFamily="18" charset="0"/>
                          </a:rPr>
                          <m:t>𝑟</m:t>
                        </m:r>
                      </m:e>
                      <m:sub>
                        <m:r>
                          <a:rPr lang="en-US" sz="1100" b="0" i="1">
                            <a:solidFill>
                              <a:srgbClr val="FF0000"/>
                            </a:solidFill>
                            <a:latin typeface="Cambria Math" panose="02040503050406030204" pitchFamily="18" charset="0"/>
                          </a:rPr>
                          <m:t>𝑓</m:t>
                        </m:r>
                      </m:sub>
                    </m:sSub>
                    <m:r>
                      <a:rPr lang="en-US" sz="1100" b="0" i="1">
                        <a:solidFill>
                          <a:srgbClr val="FF0000"/>
                        </a:solidFill>
                        <a:latin typeface="Cambria Math" panose="02040503050406030204" pitchFamily="18" charset="0"/>
                      </a:rPr>
                      <m:t>+</m:t>
                    </m:r>
                    <m:sSub>
                      <m:sSubPr>
                        <m:ctrlPr>
                          <a:rPr lang="en-US" sz="1100" b="0" i="1">
                            <a:solidFill>
                              <a:srgbClr val="FF0000"/>
                            </a:solidFill>
                            <a:latin typeface="Cambria Math" panose="02040503050406030204" pitchFamily="18" charset="0"/>
                          </a:rPr>
                        </m:ctrlPr>
                      </m:sSubPr>
                      <m:e>
                        <m:r>
                          <a:rPr lang="en-US" sz="1100" b="0" i="1">
                            <a:solidFill>
                              <a:srgbClr val="FF0000"/>
                            </a:solidFill>
                            <a:latin typeface="Cambria Math" panose="02040503050406030204" pitchFamily="18" charset="0"/>
                            <a:ea typeface="Cambria Math" panose="02040503050406030204" pitchFamily="18" charset="0"/>
                          </a:rPr>
                          <m:t>𝛽</m:t>
                        </m:r>
                      </m:e>
                      <m:sub>
                        <m:r>
                          <a:rPr lang="en-US" sz="1100" b="0" i="1">
                            <a:solidFill>
                              <a:srgbClr val="FF0000"/>
                            </a:solidFill>
                            <a:latin typeface="Cambria Math" panose="02040503050406030204" pitchFamily="18" charset="0"/>
                          </a:rPr>
                          <m:t>𝑖</m:t>
                        </m:r>
                      </m:sub>
                    </m:sSub>
                    <m:r>
                      <a:rPr lang="en-US" sz="1100" b="0" i="1">
                        <a:solidFill>
                          <a:srgbClr val="FF0000"/>
                        </a:solidFill>
                        <a:latin typeface="Cambria Math" panose="02040503050406030204" pitchFamily="18" charset="0"/>
                      </a:rPr>
                      <m:t>[</m:t>
                    </m:r>
                    <m:r>
                      <a:rPr lang="en-US" sz="1100" b="0" i="1">
                        <a:solidFill>
                          <a:srgbClr val="FF0000"/>
                        </a:solidFill>
                        <a:latin typeface="Cambria Math" panose="02040503050406030204" pitchFamily="18" charset="0"/>
                      </a:rPr>
                      <m:t>𝐸</m:t>
                    </m:r>
                    <m:r>
                      <a:rPr lang="en-US" sz="1100" b="0" i="1">
                        <a:solidFill>
                          <a:srgbClr val="FF0000"/>
                        </a:solidFill>
                        <a:latin typeface="Cambria Math" panose="02040503050406030204" pitchFamily="18" charset="0"/>
                      </a:rPr>
                      <m:t>(</m:t>
                    </m:r>
                    <m:sSub>
                      <m:sSubPr>
                        <m:ctrlPr>
                          <a:rPr lang="en-US" sz="1100" b="0" i="1">
                            <a:solidFill>
                              <a:srgbClr val="FF0000"/>
                            </a:solidFill>
                            <a:latin typeface="Cambria Math" panose="02040503050406030204" pitchFamily="18" charset="0"/>
                          </a:rPr>
                        </m:ctrlPr>
                      </m:sSubPr>
                      <m:e>
                        <m:r>
                          <a:rPr lang="en-US" sz="1100" b="0" i="1">
                            <a:solidFill>
                              <a:srgbClr val="FF0000"/>
                            </a:solidFill>
                            <a:latin typeface="Cambria Math" panose="02040503050406030204" pitchFamily="18" charset="0"/>
                          </a:rPr>
                          <m:t>𝑟</m:t>
                        </m:r>
                      </m:e>
                      <m:sub>
                        <m:r>
                          <a:rPr lang="en-US" sz="1100" b="0" i="1">
                            <a:solidFill>
                              <a:srgbClr val="FF0000"/>
                            </a:solidFill>
                            <a:latin typeface="Cambria Math" panose="02040503050406030204" pitchFamily="18" charset="0"/>
                          </a:rPr>
                          <m:t>𝑚</m:t>
                        </m:r>
                      </m:sub>
                    </m:sSub>
                    <m:r>
                      <a:rPr lang="en-US" sz="1100" b="0" i="1">
                        <a:solidFill>
                          <a:srgbClr val="FF0000"/>
                        </a:solidFill>
                        <a:latin typeface="Cambria Math" panose="02040503050406030204" pitchFamily="18" charset="0"/>
                      </a:rPr>
                      <m:t>)−</m:t>
                    </m:r>
                    <m:sSub>
                      <m:sSubPr>
                        <m:ctrlPr>
                          <a:rPr lang="en-US" sz="1100" b="0" i="1">
                            <a:solidFill>
                              <a:srgbClr val="FF0000"/>
                            </a:solidFill>
                            <a:latin typeface="Cambria Math" panose="02040503050406030204" pitchFamily="18" charset="0"/>
                          </a:rPr>
                        </m:ctrlPr>
                      </m:sSubPr>
                      <m:e>
                        <m:r>
                          <a:rPr lang="en-US" sz="1100" b="0" i="1">
                            <a:solidFill>
                              <a:srgbClr val="FF0000"/>
                            </a:solidFill>
                            <a:latin typeface="Cambria Math" panose="02040503050406030204" pitchFamily="18" charset="0"/>
                          </a:rPr>
                          <m:t>𝑟</m:t>
                        </m:r>
                      </m:e>
                      <m:sub>
                        <m:r>
                          <a:rPr lang="en-US" sz="1100" b="0" i="1">
                            <a:solidFill>
                              <a:srgbClr val="FF0000"/>
                            </a:solidFill>
                            <a:latin typeface="Cambria Math" panose="02040503050406030204" pitchFamily="18" charset="0"/>
                          </a:rPr>
                          <m:t>𝑓</m:t>
                        </m:r>
                      </m:sub>
                    </m:sSub>
                    <m:r>
                      <a:rPr lang="en-US" sz="1100" b="0" i="1">
                        <a:solidFill>
                          <a:srgbClr val="FF0000"/>
                        </a:solidFill>
                        <a:latin typeface="Cambria Math" panose="02040503050406030204" pitchFamily="18" charset="0"/>
                      </a:rPr>
                      <m:t>]</m:t>
                    </m:r>
                  </m:oMath>
                </m:oMathPara>
              </a14:m>
              <a:endParaRPr lang="en-IN" sz="1100">
                <a:solidFill>
                  <a:srgbClr val="FF0000"/>
                </a:solidFill>
              </a:endParaRPr>
            </a:p>
          </xdr:txBody>
        </xdr:sp>
      </mc:Choice>
      <mc:Fallback>
        <xdr:sp macro="" textlink="">
          <xdr:nvSpPr>
            <xdr:cNvPr id="4" name="TextBox 3">
              <a:extLst>
                <a:ext uri="{FF2B5EF4-FFF2-40B4-BE49-F238E27FC236}">
                  <a16:creationId xmlns:a16="http://schemas.microsoft.com/office/drawing/2014/main" id="{2506971C-6463-4211-95F5-7DE24C861B42}"/>
                </a:ext>
              </a:extLst>
            </xdr:cNvPr>
            <xdr:cNvSpPr txBox="1"/>
          </xdr:nvSpPr>
          <xdr:spPr>
            <a:xfrm>
              <a:off x="6524625" y="841375"/>
              <a:ext cx="1666675" cy="18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FF0000"/>
                  </a:solidFill>
                  <a:latin typeface="Cambria Math" panose="02040503050406030204" pitchFamily="18" charset="0"/>
                </a:rPr>
                <a:t>𝐸(𝑟_𝑖 )=𝑟_𝑓+</a:t>
              </a:r>
              <a:r>
                <a:rPr lang="en-US" sz="1100" b="0" i="0">
                  <a:solidFill>
                    <a:srgbClr val="FF0000"/>
                  </a:solidFill>
                  <a:latin typeface="Cambria Math" panose="02040503050406030204" pitchFamily="18" charset="0"/>
                  <a:ea typeface="Cambria Math" panose="02040503050406030204" pitchFamily="18" charset="0"/>
                </a:rPr>
                <a:t>𝛽_</a:t>
              </a:r>
              <a:r>
                <a:rPr lang="en-US" sz="1100" b="0" i="0">
                  <a:solidFill>
                    <a:srgbClr val="FF0000"/>
                  </a:solidFill>
                  <a:latin typeface="Cambria Math" panose="02040503050406030204" pitchFamily="18" charset="0"/>
                </a:rPr>
                <a:t>𝑖 [𝐸(𝑟_𝑚)−𝑟_𝑓]</a:t>
              </a:r>
              <a:endParaRPr lang="en-IN" sz="1100">
                <a:solidFill>
                  <a:srgbClr val="FF0000"/>
                </a:solidFill>
              </a:endParaRPr>
            </a:p>
          </xdr:txBody>
        </xdr:sp>
      </mc:Fallback>
    </mc:AlternateContent>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59"/>
  <sheetViews>
    <sheetView topLeftCell="D1" workbookViewId="0">
      <selection activeCell="O3" sqref="O3"/>
    </sheetView>
  </sheetViews>
  <sheetFormatPr defaultRowHeight="12.75" customHeight="1" x14ac:dyDescent="0.2"/>
  <cols>
    <col min="1" max="1" width="7.5703125" style="1" customWidth="1"/>
    <col min="2" max="2" width="16.140625" bestFit="1" customWidth="1"/>
    <col min="3" max="3" width="23.28515625" customWidth="1"/>
    <col min="4" max="4" width="28.5703125" customWidth="1"/>
    <col min="5" max="5" width="21.140625" customWidth="1"/>
    <col min="6" max="6" width="23.7109375" customWidth="1"/>
    <col min="7" max="7" width="24.5703125" customWidth="1"/>
    <col min="8" max="8" width="19.42578125" customWidth="1"/>
    <col min="9" max="9" width="20.85546875" customWidth="1"/>
  </cols>
  <sheetData>
    <row r="1" spans="1:17" ht="21" customHeight="1" x14ac:dyDescent="0.3">
      <c r="A1" s="12" t="s">
        <v>52</v>
      </c>
      <c r="B1" s="9"/>
      <c r="C1" s="13">
        <v>0.14000000000000001</v>
      </c>
      <c r="D1" s="15" t="s">
        <v>57</v>
      </c>
      <c r="E1" s="16" t="s">
        <v>58</v>
      </c>
      <c r="F1" s="16" t="s">
        <v>59</v>
      </c>
      <c r="G1" s="17" t="s">
        <v>60</v>
      </c>
      <c r="H1" s="16" t="s">
        <v>61</v>
      </c>
      <c r="I1" s="16" t="s">
        <v>62</v>
      </c>
      <c r="K1" s="18" t="s">
        <v>63</v>
      </c>
    </row>
    <row r="2" spans="1:17" ht="32.25" customHeight="1" x14ac:dyDescent="0.3">
      <c r="B2" s="1" t="s">
        <v>0</v>
      </c>
      <c r="C2" s="7" t="s">
        <v>55</v>
      </c>
      <c r="D2" s="8" t="s">
        <v>51</v>
      </c>
      <c r="E2" s="7" t="s">
        <v>64</v>
      </c>
      <c r="F2" s="7" t="s">
        <v>65</v>
      </c>
      <c r="G2" s="7" t="s">
        <v>66</v>
      </c>
      <c r="H2" s="7" t="s">
        <v>67</v>
      </c>
      <c r="I2" s="7" t="s">
        <v>68</v>
      </c>
      <c r="K2" s="17" t="s">
        <v>69</v>
      </c>
      <c r="O2" s="17" t="s">
        <v>70</v>
      </c>
      <c r="Q2" s="15" t="s">
        <v>71</v>
      </c>
    </row>
    <row r="3" spans="1:17" ht="19.5" customHeight="1" x14ac:dyDescent="0.3">
      <c r="A3" s="1">
        <v>1</v>
      </c>
      <c r="B3" s="1" t="s">
        <v>1</v>
      </c>
      <c r="C3" s="2">
        <v>1.3708</v>
      </c>
      <c r="D3" s="3">
        <v>0.37241599999999997</v>
      </c>
      <c r="E3" s="19">
        <f>D3^2</f>
        <v>0.13869367705599997</v>
      </c>
      <c r="F3" s="20">
        <f>(C3^2)*$C$1^2</f>
        <v>3.6830215744000007E-2</v>
      </c>
      <c r="G3" s="20">
        <f>E3-F3</f>
        <v>0.10186346131199997</v>
      </c>
      <c r="H3" s="21">
        <f>F3/E3</f>
        <v>0.26555079168554435</v>
      </c>
      <c r="I3" s="21">
        <f>G3/E3</f>
        <v>0.7344492083144557</v>
      </c>
      <c r="K3" s="15" t="s">
        <v>66</v>
      </c>
      <c r="O3" s="17" t="s">
        <v>72</v>
      </c>
    </row>
    <row r="4" spans="1:17" ht="12.75" customHeight="1" x14ac:dyDescent="0.2">
      <c r="A4" s="1">
        <v>2</v>
      </c>
      <c r="B4" s="1" t="s">
        <v>2</v>
      </c>
      <c r="C4" s="2">
        <v>0.89839999999999998</v>
      </c>
      <c r="D4" s="3">
        <v>0.24083200000000002</v>
      </c>
      <c r="E4" s="19">
        <f t="shared" ref="E4:E52" si="0">D4^2</f>
        <v>5.8000052224000009E-2</v>
      </c>
      <c r="F4" s="20">
        <f t="shared" ref="F4:F52" si="1">(C4^2)*$C$1^2</f>
        <v>1.5819602176000001E-2</v>
      </c>
      <c r="G4" s="20">
        <f t="shared" ref="G4:G52" si="2">E4-F4</f>
        <v>4.2180450048000008E-2</v>
      </c>
      <c r="H4" s="21">
        <f t="shared" ref="H4:H52" si="3">F4/E4</f>
        <v>0.27275151606594522</v>
      </c>
      <c r="I4" s="21">
        <f t="shared" ref="I4:I52" si="4">G4/E4</f>
        <v>0.72724848393405472</v>
      </c>
    </row>
    <row r="5" spans="1:17" ht="12.75" customHeight="1" x14ac:dyDescent="0.2">
      <c r="A5" s="1">
        <v>3</v>
      </c>
      <c r="B5" s="1" t="s">
        <v>3</v>
      </c>
      <c r="C5" s="2">
        <v>1.0773999999999999</v>
      </c>
      <c r="D5" s="3">
        <v>0.271872</v>
      </c>
      <c r="E5" s="19">
        <f t="shared" si="0"/>
        <v>7.3914384383999998E-2</v>
      </c>
      <c r="F5" s="20">
        <f t="shared" si="1"/>
        <v>2.2751498895999998E-2</v>
      </c>
      <c r="G5" s="20">
        <f t="shared" si="2"/>
        <v>5.1162885488E-2</v>
      </c>
      <c r="H5" s="21">
        <f t="shared" si="3"/>
        <v>0.30780881266360027</v>
      </c>
      <c r="I5" s="21">
        <f t="shared" si="4"/>
        <v>0.69219118733639973</v>
      </c>
    </row>
    <row r="6" spans="1:17" ht="12.75" customHeight="1" x14ac:dyDescent="0.2">
      <c r="A6" s="1">
        <v>4</v>
      </c>
      <c r="B6" s="1" t="s">
        <v>4</v>
      </c>
      <c r="C6" s="2">
        <v>1.5741000000000001</v>
      </c>
      <c r="D6" s="3">
        <v>0.44119999999999998</v>
      </c>
      <c r="E6" s="19">
        <f t="shared" si="0"/>
        <v>0.19465743999999999</v>
      </c>
      <c r="F6" s="20">
        <f t="shared" si="1"/>
        <v>4.8564699876000011E-2</v>
      </c>
      <c r="G6" s="20">
        <f t="shared" si="2"/>
        <v>0.14609274012399998</v>
      </c>
      <c r="H6" s="21">
        <f t="shared" si="3"/>
        <v>0.24948802304191411</v>
      </c>
      <c r="I6" s="21">
        <f t="shared" si="4"/>
        <v>0.75051197695808591</v>
      </c>
    </row>
    <row r="7" spans="1:17" ht="12.75" customHeight="1" x14ac:dyDescent="0.2">
      <c r="A7" s="1">
        <v>5</v>
      </c>
      <c r="B7" s="1" t="s">
        <v>5</v>
      </c>
      <c r="C7" s="2">
        <v>0.82979999999999998</v>
      </c>
      <c r="D7" s="3">
        <v>0.24428799999999998</v>
      </c>
      <c r="E7" s="19">
        <f t="shared" si="0"/>
        <v>5.9676626943999986E-2</v>
      </c>
      <c r="F7" s="20">
        <f t="shared" si="1"/>
        <v>1.3495933584000001E-2</v>
      </c>
      <c r="G7" s="20">
        <f t="shared" si="2"/>
        <v>4.6180693359999983E-2</v>
      </c>
      <c r="H7" s="21">
        <f t="shared" si="3"/>
        <v>0.2261510791597599</v>
      </c>
      <c r="I7" s="21">
        <f t="shared" si="4"/>
        <v>0.77384892084024004</v>
      </c>
    </row>
    <row r="8" spans="1:17" ht="12.75" customHeight="1" x14ac:dyDescent="0.2">
      <c r="A8" s="1">
        <v>6</v>
      </c>
      <c r="B8" s="1" t="s">
        <v>6</v>
      </c>
      <c r="C8" s="2">
        <v>1.6361000000000001</v>
      </c>
      <c r="D8" s="3">
        <v>0.38488</v>
      </c>
      <c r="E8" s="19">
        <f t="shared" si="0"/>
        <v>0.1481326144</v>
      </c>
      <c r="F8" s="20">
        <f t="shared" si="1"/>
        <v>5.2465734916000012E-2</v>
      </c>
      <c r="G8" s="20">
        <f t="shared" si="2"/>
        <v>9.5666879483999989E-2</v>
      </c>
      <c r="H8" s="21">
        <f t="shared" si="3"/>
        <v>0.35418084753657064</v>
      </c>
      <c r="I8" s="21">
        <f t="shared" si="4"/>
        <v>0.64581915246342936</v>
      </c>
    </row>
    <row r="9" spans="1:17" ht="12.75" customHeight="1" x14ac:dyDescent="0.2">
      <c r="A9" s="1">
        <v>7</v>
      </c>
      <c r="B9" s="1" t="s">
        <v>7</v>
      </c>
      <c r="C9" s="2">
        <v>1.5113000000000001</v>
      </c>
      <c r="D9" s="3">
        <v>0.340144</v>
      </c>
      <c r="E9" s="19">
        <f t="shared" si="0"/>
        <v>0.115697940736</v>
      </c>
      <c r="F9" s="20">
        <f t="shared" si="1"/>
        <v>4.476694272400001E-2</v>
      </c>
      <c r="G9" s="20">
        <f t="shared" si="2"/>
        <v>7.0930998011999979E-2</v>
      </c>
      <c r="H9" s="21">
        <f t="shared" si="3"/>
        <v>0.38692946857325139</v>
      </c>
      <c r="I9" s="21">
        <f t="shared" si="4"/>
        <v>0.61307053142674861</v>
      </c>
    </row>
    <row r="10" spans="1:17" ht="12.75" customHeight="1" x14ac:dyDescent="0.2">
      <c r="A10" s="1">
        <v>8</v>
      </c>
      <c r="B10" s="1" t="s">
        <v>8</v>
      </c>
      <c r="C10" s="2">
        <v>1.1432</v>
      </c>
      <c r="D10" s="3">
        <v>0.37300800000000001</v>
      </c>
      <c r="E10" s="19">
        <f t="shared" si="0"/>
        <v>0.139134968064</v>
      </c>
      <c r="F10" s="20">
        <f t="shared" si="1"/>
        <v>2.5615362304000005E-2</v>
      </c>
      <c r="G10" s="20">
        <f t="shared" si="2"/>
        <v>0.11351960575999999</v>
      </c>
      <c r="H10" s="21">
        <f t="shared" si="3"/>
        <v>0.18410441789311599</v>
      </c>
      <c r="I10" s="21">
        <f t="shared" si="4"/>
        <v>0.81589558210688395</v>
      </c>
    </row>
    <row r="11" spans="1:17" ht="12.75" customHeight="1" x14ac:dyDescent="0.2">
      <c r="A11" s="1">
        <v>9</v>
      </c>
      <c r="B11" s="1" t="s">
        <v>9</v>
      </c>
      <c r="C11" s="2">
        <v>0.33860000000000001</v>
      </c>
      <c r="D11" s="3">
        <v>0.32436799999999999</v>
      </c>
      <c r="E11" s="19">
        <f t="shared" si="0"/>
        <v>0.10521459942399999</v>
      </c>
      <c r="F11" s="20">
        <f t="shared" si="1"/>
        <v>2.2471392160000004E-3</v>
      </c>
      <c r="G11" s="20">
        <f t="shared" si="2"/>
        <v>0.10296746020799999</v>
      </c>
      <c r="H11" s="21">
        <f t="shared" si="3"/>
        <v>2.1357674964330248E-2</v>
      </c>
      <c r="I11" s="21">
        <f t="shared" si="4"/>
        <v>0.97864232503566972</v>
      </c>
    </row>
    <row r="12" spans="1:17" ht="12.75" customHeight="1" x14ac:dyDescent="0.2">
      <c r="A12" s="1">
        <v>10</v>
      </c>
      <c r="B12" s="1" t="s">
        <v>10</v>
      </c>
      <c r="C12" s="2">
        <v>0.76490000000000002</v>
      </c>
      <c r="D12" s="3">
        <v>0.24872</v>
      </c>
      <c r="E12" s="19">
        <f t="shared" si="0"/>
        <v>6.1861638399999995E-2</v>
      </c>
      <c r="F12" s="20">
        <f t="shared" si="1"/>
        <v>1.1467411396000004E-2</v>
      </c>
      <c r="G12" s="20">
        <f t="shared" si="2"/>
        <v>5.0394227003999995E-2</v>
      </c>
      <c r="H12" s="21">
        <f t="shared" si="3"/>
        <v>0.18537193150060516</v>
      </c>
      <c r="I12" s="21">
        <f t="shared" si="4"/>
        <v>0.81462806849939495</v>
      </c>
    </row>
    <row r="13" spans="1:17" ht="12.75" customHeight="1" x14ac:dyDescent="0.2">
      <c r="A13" s="1">
        <v>11</v>
      </c>
      <c r="B13" s="1" t="s">
        <v>11</v>
      </c>
      <c r="C13" s="2">
        <v>0.66859999999999997</v>
      </c>
      <c r="D13" s="3">
        <v>0.25214400000000003</v>
      </c>
      <c r="E13" s="19">
        <f t="shared" si="0"/>
        <v>6.3576596736000024E-2</v>
      </c>
      <c r="F13" s="20">
        <f t="shared" si="1"/>
        <v>8.7617088160000002E-3</v>
      </c>
      <c r="G13" s="20">
        <f t="shared" si="2"/>
        <v>5.4814887920000027E-2</v>
      </c>
      <c r="H13" s="21">
        <f t="shared" si="3"/>
        <v>0.13781342924634268</v>
      </c>
      <c r="I13" s="21">
        <f t="shared" si="4"/>
        <v>0.86218657075365734</v>
      </c>
    </row>
    <row r="14" spans="1:17" ht="12.75" customHeight="1" x14ac:dyDescent="0.2">
      <c r="A14" s="1">
        <v>12</v>
      </c>
      <c r="B14" s="1" t="s">
        <v>12</v>
      </c>
      <c r="C14" s="2">
        <v>0.55049999999999999</v>
      </c>
      <c r="D14" s="3">
        <v>0.265152</v>
      </c>
      <c r="E14" s="19">
        <f t="shared" si="0"/>
        <v>7.0305583103999994E-2</v>
      </c>
      <c r="F14" s="20">
        <f t="shared" si="1"/>
        <v>5.9397848999999999E-3</v>
      </c>
      <c r="G14" s="20">
        <f t="shared" si="2"/>
        <v>6.4365798203999999E-2</v>
      </c>
      <c r="H14" s="21">
        <f t="shared" si="3"/>
        <v>8.4485251921081916E-2</v>
      </c>
      <c r="I14" s="21">
        <f t="shared" si="4"/>
        <v>0.91551474807891819</v>
      </c>
    </row>
    <row r="15" spans="1:17" ht="12.75" customHeight="1" x14ac:dyDescent="0.2">
      <c r="A15" s="1">
        <v>13</v>
      </c>
      <c r="B15" s="1" t="s">
        <v>13</v>
      </c>
      <c r="C15" s="2">
        <v>0.32669999999999999</v>
      </c>
      <c r="D15" s="3">
        <v>0.27001599999999998</v>
      </c>
      <c r="E15" s="19">
        <f t="shared" si="0"/>
        <v>7.2908640255999982E-2</v>
      </c>
      <c r="F15" s="20">
        <f t="shared" si="1"/>
        <v>2.0919646440000004E-3</v>
      </c>
      <c r="G15" s="20">
        <f t="shared" si="2"/>
        <v>7.0816675611999988E-2</v>
      </c>
      <c r="H15" s="21">
        <f t="shared" si="3"/>
        <v>2.8692959252217615E-2</v>
      </c>
      <c r="I15" s="21">
        <f t="shared" si="4"/>
        <v>0.97130704074778251</v>
      </c>
    </row>
    <row r="16" spans="1:17" ht="12.75" customHeight="1" x14ac:dyDescent="0.2">
      <c r="A16" s="1">
        <v>14</v>
      </c>
      <c r="B16" s="1" t="s">
        <v>14</v>
      </c>
      <c r="C16" s="2">
        <v>1.4444999999999999</v>
      </c>
      <c r="D16" s="3">
        <v>0.385216</v>
      </c>
      <c r="E16" s="19">
        <f t="shared" si="0"/>
        <v>0.148391366656</v>
      </c>
      <c r="F16" s="20">
        <f t="shared" si="1"/>
        <v>4.0896972900000002E-2</v>
      </c>
      <c r="G16" s="20">
        <f t="shared" si="2"/>
        <v>0.10749439375600001</v>
      </c>
      <c r="H16" s="21">
        <f t="shared" si="3"/>
        <v>0.27560210423027592</v>
      </c>
      <c r="I16" s="21">
        <f t="shared" si="4"/>
        <v>0.72439789576972413</v>
      </c>
    </row>
    <row r="17" spans="1:9" ht="12.75" customHeight="1" x14ac:dyDescent="0.2">
      <c r="A17" s="1">
        <v>15</v>
      </c>
      <c r="B17" s="1" t="s">
        <v>15</v>
      </c>
      <c r="C17" s="2">
        <v>0.94089999999999996</v>
      </c>
      <c r="D17" s="3">
        <v>0.322048</v>
      </c>
      <c r="E17" s="19">
        <f t="shared" si="0"/>
        <v>0.103714914304</v>
      </c>
      <c r="F17" s="20">
        <f t="shared" si="1"/>
        <v>1.7351739076000003E-2</v>
      </c>
      <c r="G17" s="20">
        <f t="shared" si="2"/>
        <v>8.6363175227999994E-2</v>
      </c>
      <c r="H17" s="21">
        <f t="shared" si="3"/>
        <v>0.16730225534526422</v>
      </c>
      <c r="I17" s="21">
        <f t="shared" si="4"/>
        <v>0.83269774465473578</v>
      </c>
    </row>
    <row r="18" spans="1:9" ht="12.75" customHeight="1" x14ac:dyDescent="0.2">
      <c r="A18" s="1">
        <v>16</v>
      </c>
      <c r="B18" s="1" t="s">
        <v>16</v>
      </c>
      <c r="C18" s="2">
        <v>1.4162999999999999</v>
      </c>
      <c r="D18" s="3">
        <v>0.330816</v>
      </c>
      <c r="E18" s="19">
        <f t="shared" si="0"/>
        <v>0.10943922585599999</v>
      </c>
      <c r="F18" s="20">
        <f t="shared" si="1"/>
        <v>3.9315751523999999E-2</v>
      </c>
      <c r="G18" s="20">
        <f t="shared" si="2"/>
        <v>7.0123474332000002E-2</v>
      </c>
      <c r="H18" s="21">
        <f t="shared" si="3"/>
        <v>0.35924734679438997</v>
      </c>
      <c r="I18" s="21">
        <f t="shared" si="4"/>
        <v>0.64075265320561015</v>
      </c>
    </row>
    <row r="19" spans="1:9" ht="12.75" customHeight="1" x14ac:dyDescent="0.2">
      <c r="A19" s="1">
        <v>17</v>
      </c>
      <c r="B19" s="1" t="s">
        <v>17</v>
      </c>
      <c r="C19" s="2">
        <v>1.2403999999999999</v>
      </c>
      <c r="D19" s="3">
        <v>0.26347199999999998</v>
      </c>
      <c r="E19" s="19">
        <f t="shared" si="0"/>
        <v>6.9417494783999986E-2</v>
      </c>
      <c r="F19" s="20">
        <f t="shared" si="1"/>
        <v>3.0156406336000002E-2</v>
      </c>
      <c r="G19" s="20">
        <f t="shared" si="2"/>
        <v>3.9261088447999984E-2</v>
      </c>
      <c r="H19" s="21">
        <f t="shared" si="3"/>
        <v>0.4344208391535147</v>
      </c>
      <c r="I19" s="21">
        <f t="shared" si="4"/>
        <v>0.5655791608464853</v>
      </c>
    </row>
    <row r="20" spans="1:9" ht="12.75" customHeight="1" x14ac:dyDescent="0.2">
      <c r="A20" s="1">
        <v>18</v>
      </c>
      <c r="B20" s="1" t="s">
        <v>18</v>
      </c>
      <c r="C20" s="2">
        <v>0.47589999999999999</v>
      </c>
      <c r="D20" s="3">
        <v>0.26913599999999999</v>
      </c>
      <c r="E20" s="19">
        <f t="shared" si="0"/>
        <v>7.2434186495999989E-2</v>
      </c>
      <c r="F20" s="20">
        <f t="shared" si="1"/>
        <v>4.4390238760000002E-3</v>
      </c>
      <c r="G20" s="20">
        <f t="shared" si="2"/>
        <v>6.7995162619999994E-2</v>
      </c>
      <c r="H20" s="21">
        <f t="shared" si="3"/>
        <v>6.1283547047845083E-2</v>
      </c>
      <c r="I20" s="21">
        <f t="shared" si="4"/>
        <v>0.938716452952155</v>
      </c>
    </row>
    <row r="21" spans="1:9" ht="12.75" customHeight="1" x14ac:dyDescent="0.2">
      <c r="A21" s="1">
        <v>19</v>
      </c>
      <c r="B21" s="1" t="s">
        <v>19</v>
      </c>
      <c r="C21" s="2">
        <v>0.8004</v>
      </c>
      <c r="D21" s="3">
        <v>0.17771200000000001</v>
      </c>
      <c r="E21" s="19">
        <f t="shared" si="0"/>
        <v>3.1581554944000001E-2</v>
      </c>
      <c r="F21" s="20">
        <f t="shared" si="1"/>
        <v>1.2556547136000002E-2</v>
      </c>
      <c r="G21" s="20">
        <f t="shared" si="2"/>
        <v>1.9025007807999997E-2</v>
      </c>
      <c r="H21" s="21">
        <f t="shared" si="3"/>
        <v>0.39759116225483854</v>
      </c>
      <c r="I21" s="21">
        <f t="shared" si="4"/>
        <v>0.60240883774516141</v>
      </c>
    </row>
    <row r="22" spans="1:9" ht="12.75" customHeight="1" x14ac:dyDescent="0.2">
      <c r="A22" s="1">
        <v>20</v>
      </c>
      <c r="B22" s="1" t="s">
        <v>20</v>
      </c>
      <c r="C22" s="2">
        <v>1.1488</v>
      </c>
      <c r="D22" s="3">
        <v>0.32671999999999995</v>
      </c>
      <c r="E22" s="19">
        <f t="shared" si="0"/>
        <v>0.10674595839999997</v>
      </c>
      <c r="F22" s="20">
        <f t="shared" si="1"/>
        <v>2.5866932224000005E-2</v>
      </c>
      <c r="G22" s="20">
        <f t="shared" si="2"/>
        <v>8.0879026175999957E-2</v>
      </c>
      <c r="H22" s="21">
        <f t="shared" si="3"/>
        <v>0.24232235685281001</v>
      </c>
      <c r="I22" s="21">
        <f t="shared" si="4"/>
        <v>0.75767764314718999</v>
      </c>
    </row>
    <row r="23" spans="1:9" ht="12.75" customHeight="1" x14ac:dyDescent="0.2">
      <c r="A23" s="1">
        <v>21</v>
      </c>
      <c r="B23" s="1" t="s">
        <v>21</v>
      </c>
      <c r="C23" s="2">
        <v>0.61839999999999995</v>
      </c>
      <c r="D23" s="3">
        <v>0.203792</v>
      </c>
      <c r="E23" s="19">
        <f t="shared" si="0"/>
        <v>4.1531179264000004E-2</v>
      </c>
      <c r="F23" s="20">
        <f t="shared" si="1"/>
        <v>7.4954037760000007E-3</v>
      </c>
      <c r="G23" s="20">
        <f t="shared" si="2"/>
        <v>3.4035775488000006E-2</v>
      </c>
      <c r="H23" s="21">
        <f t="shared" si="3"/>
        <v>0.18047654578634023</v>
      </c>
      <c r="I23" s="21">
        <f t="shared" si="4"/>
        <v>0.8195234542136598</v>
      </c>
    </row>
    <row r="24" spans="1:9" ht="12.75" customHeight="1" x14ac:dyDescent="0.2">
      <c r="A24" s="1">
        <v>22</v>
      </c>
      <c r="B24" s="1" t="s">
        <v>22</v>
      </c>
      <c r="C24" s="2">
        <v>1.2072000000000001</v>
      </c>
      <c r="D24" s="3">
        <v>0.3296</v>
      </c>
      <c r="E24" s="19">
        <f t="shared" si="0"/>
        <v>0.10863616000000001</v>
      </c>
      <c r="F24" s="20">
        <f t="shared" si="1"/>
        <v>2.8563704064000005E-2</v>
      </c>
      <c r="G24" s="20">
        <f t="shared" si="2"/>
        <v>8.0072455936E-2</v>
      </c>
      <c r="H24" s="21">
        <f t="shared" si="3"/>
        <v>0.26292998633235937</v>
      </c>
      <c r="I24" s="21">
        <f t="shared" si="4"/>
        <v>0.73707001366764058</v>
      </c>
    </row>
    <row r="25" spans="1:9" ht="12.75" customHeight="1" x14ac:dyDescent="0.2">
      <c r="A25" s="1">
        <v>23</v>
      </c>
      <c r="B25" s="1" t="s">
        <v>23</v>
      </c>
      <c r="C25" s="2">
        <v>1.4253</v>
      </c>
      <c r="D25" s="3">
        <v>0.40870399999999996</v>
      </c>
      <c r="E25" s="19">
        <f t="shared" si="0"/>
        <v>0.16703895961599996</v>
      </c>
      <c r="F25" s="20">
        <f t="shared" si="1"/>
        <v>3.981700976400001E-2</v>
      </c>
      <c r="G25" s="20">
        <f t="shared" si="2"/>
        <v>0.12722194985199994</v>
      </c>
      <c r="H25" s="21">
        <f t="shared" si="3"/>
        <v>0.23836959865850424</v>
      </c>
      <c r="I25" s="21">
        <f t="shared" si="4"/>
        <v>0.76163040134149573</v>
      </c>
    </row>
    <row r="26" spans="1:9" ht="12.75" customHeight="1" x14ac:dyDescent="0.2">
      <c r="A26" s="1">
        <v>24</v>
      </c>
      <c r="B26" s="1" t="s">
        <v>24</v>
      </c>
      <c r="C26" s="2">
        <v>1.2404999999999999</v>
      </c>
      <c r="D26" s="3">
        <v>0.26313600000000004</v>
      </c>
      <c r="E26" s="19">
        <f t="shared" si="0"/>
        <v>6.9240554496000015E-2</v>
      </c>
      <c r="F26" s="20">
        <f t="shared" si="1"/>
        <v>3.01612689E-2</v>
      </c>
      <c r="G26" s="20">
        <f t="shared" si="2"/>
        <v>3.9079285596000018E-2</v>
      </c>
      <c r="H26" s="21">
        <f t="shared" si="3"/>
        <v>0.4356012039409996</v>
      </c>
      <c r="I26" s="21">
        <f t="shared" si="4"/>
        <v>0.56439879605900045</v>
      </c>
    </row>
    <row r="27" spans="1:9" ht="12.75" customHeight="1" x14ac:dyDescent="0.2">
      <c r="A27" s="1">
        <v>25</v>
      </c>
      <c r="B27" s="1" t="s">
        <v>25</v>
      </c>
      <c r="C27" s="2">
        <v>2.3549000000000002</v>
      </c>
      <c r="D27" s="3">
        <v>0.71460800000000002</v>
      </c>
      <c r="E27" s="19">
        <f t="shared" si="0"/>
        <v>0.51066459366400008</v>
      </c>
      <c r="F27" s="20">
        <f t="shared" si="1"/>
        <v>0.10869285859600003</v>
      </c>
      <c r="G27" s="20">
        <f t="shared" si="2"/>
        <v>0.40197173506800005</v>
      </c>
      <c r="H27" s="21">
        <f t="shared" si="3"/>
        <v>0.21284588738790894</v>
      </c>
      <c r="I27" s="21">
        <f t="shared" si="4"/>
        <v>0.78715411261209112</v>
      </c>
    </row>
    <row r="28" spans="1:9" ht="12.75" customHeight="1" x14ac:dyDescent="0.2">
      <c r="A28" s="1">
        <v>26</v>
      </c>
      <c r="B28" s="1" t="s">
        <v>26</v>
      </c>
      <c r="C28" s="2">
        <v>1.3514999999999999</v>
      </c>
      <c r="D28" s="3">
        <v>0.35667199999999999</v>
      </c>
      <c r="E28" s="19">
        <f t="shared" si="0"/>
        <v>0.127214915584</v>
      </c>
      <c r="F28" s="20">
        <f t="shared" si="1"/>
        <v>3.5800424099999999E-2</v>
      </c>
      <c r="G28" s="20">
        <f t="shared" si="2"/>
        <v>9.1414491483999993E-2</v>
      </c>
      <c r="H28" s="21">
        <f t="shared" si="3"/>
        <v>0.28141687580935415</v>
      </c>
      <c r="I28" s="21">
        <f t="shared" si="4"/>
        <v>0.71858312419064585</v>
      </c>
    </row>
    <row r="29" spans="1:9" ht="12.75" customHeight="1" x14ac:dyDescent="0.2">
      <c r="A29" s="1">
        <v>27</v>
      </c>
      <c r="B29" s="1" t="s">
        <v>27</v>
      </c>
      <c r="C29" s="2">
        <v>0.5252</v>
      </c>
      <c r="D29" s="3">
        <v>0.23952000000000001</v>
      </c>
      <c r="E29" s="19">
        <f t="shared" si="0"/>
        <v>5.7369830400000002E-2</v>
      </c>
      <c r="F29" s="20">
        <f t="shared" si="1"/>
        <v>5.4063667840000005E-3</v>
      </c>
      <c r="G29" s="20">
        <f t="shared" si="2"/>
        <v>5.1963463616000002E-2</v>
      </c>
      <c r="H29" s="21">
        <f t="shared" si="3"/>
        <v>9.4237105919699568E-2</v>
      </c>
      <c r="I29" s="21">
        <f t="shared" si="4"/>
        <v>0.90576289408030042</v>
      </c>
    </row>
    <row r="30" spans="1:9" ht="12.75" customHeight="1" x14ac:dyDescent="0.2">
      <c r="A30" s="1">
        <v>28</v>
      </c>
      <c r="B30" s="1" t="s">
        <v>28</v>
      </c>
      <c r="C30" s="2">
        <v>0.81820000000000004</v>
      </c>
      <c r="D30" s="3">
        <v>0.20724799999999999</v>
      </c>
      <c r="E30" s="19">
        <f t="shared" si="0"/>
        <v>4.2951733503999993E-2</v>
      </c>
      <c r="F30" s="20">
        <f t="shared" si="1"/>
        <v>1.3121244304000005E-2</v>
      </c>
      <c r="G30" s="20">
        <f t="shared" si="2"/>
        <v>2.983048919999999E-2</v>
      </c>
      <c r="H30" s="21">
        <f t="shared" si="3"/>
        <v>0.305488119653612</v>
      </c>
      <c r="I30" s="21">
        <f t="shared" si="4"/>
        <v>0.69451188034638811</v>
      </c>
    </row>
    <row r="31" spans="1:9" ht="12.75" customHeight="1" x14ac:dyDescent="0.2">
      <c r="A31" s="1">
        <v>29</v>
      </c>
      <c r="B31" s="1" t="s">
        <v>29</v>
      </c>
      <c r="C31" s="2">
        <v>1.2911999999999999</v>
      </c>
      <c r="D31" s="3">
        <v>0.33350400000000002</v>
      </c>
      <c r="E31" s="19">
        <f t="shared" si="0"/>
        <v>0.11122491801600001</v>
      </c>
      <c r="F31" s="20">
        <f t="shared" si="1"/>
        <v>3.2677069824000003E-2</v>
      </c>
      <c r="G31" s="20">
        <f t="shared" si="2"/>
        <v>7.8547848192000003E-2</v>
      </c>
      <c r="H31" s="21">
        <f t="shared" si="3"/>
        <v>0.29379270766735305</v>
      </c>
      <c r="I31" s="21">
        <f t="shared" si="4"/>
        <v>0.7062072923326469</v>
      </c>
    </row>
    <row r="32" spans="1:9" ht="12.75" customHeight="1" x14ac:dyDescent="0.2">
      <c r="A32" s="1">
        <v>30</v>
      </c>
      <c r="B32" s="1" t="s">
        <v>30</v>
      </c>
      <c r="C32" s="2">
        <v>0.96099999999999997</v>
      </c>
      <c r="D32" s="3">
        <v>0.25673600000000002</v>
      </c>
      <c r="E32" s="19">
        <f t="shared" si="0"/>
        <v>6.5913373696000005E-2</v>
      </c>
      <c r="F32" s="20">
        <f t="shared" si="1"/>
        <v>1.8101011600000001E-2</v>
      </c>
      <c r="G32" s="20">
        <f t="shared" si="2"/>
        <v>4.7812362096000004E-2</v>
      </c>
      <c r="H32" s="21">
        <f t="shared" si="3"/>
        <v>0.27461819331967335</v>
      </c>
      <c r="I32" s="21">
        <f t="shared" si="4"/>
        <v>0.7253818066803267</v>
      </c>
    </row>
    <row r="33" spans="1:9" ht="12.75" customHeight="1" x14ac:dyDescent="0.2">
      <c r="A33" s="1">
        <v>31</v>
      </c>
      <c r="B33" s="1" t="s">
        <v>31</v>
      </c>
      <c r="C33" s="2">
        <v>1.0377000000000001</v>
      </c>
      <c r="D33" s="3">
        <v>0.23291200000000001</v>
      </c>
      <c r="E33" s="19">
        <f t="shared" si="0"/>
        <v>5.4247999744000006E-2</v>
      </c>
      <c r="F33" s="20">
        <f t="shared" si="1"/>
        <v>2.1105697284000004E-2</v>
      </c>
      <c r="G33" s="20">
        <f t="shared" si="2"/>
        <v>3.3142302460000002E-2</v>
      </c>
      <c r="H33" s="21">
        <f t="shared" si="3"/>
        <v>0.38905945626749783</v>
      </c>
      <c r="I33" s="21">
        <f t="shared" si="4"/>
        <v>0.61094054373250217</v>
      </c>
    </row>
    <row r="34" spans="1:9" ht="12.75" customHeight="1" x14ac:dyDescent="0.2">
      <c r="A34" s="1">
        <v>32</v>
      </c>
      <c r="B34" s="1" t="s">
        <v>32</v>
      </c>
      <c r="C34" s="2">
        <v>1.3897999999999999</v>
      </c>
      <c r="D34" s="3">
        <v>0.30660799999999999</v>
      </c>
      <c r="E34" s="19">
        <f t="shared" si="0"/>
        <v>9.4008465663999993E-2</v>
      </c>
      <c r="F34" s="20">
        <f t="shared" si="1"/>
        <v>3.7858263183999999E-2</v>
      </c>
      <c r="G34" s="20">
        <f t="shared" si="2"/>
        <v>5.6150202479999994E-2</v>
      </c>
      <c r="H34" s="21">
        <f t="shared" si="3"/>
        <v>0.40271121240624191</v>
      </c>
      <c r="I34" s="21">
        <f t="shared" si="4"/>
        <v>0.59728878759375814</v>
      </c>
    </row>
    <row r="35" spans="1:9" ht="12.75" customHeight="1" x14ac:dyDescent="0.2">
      <c r="A35" s="1">
        <v>33</v>
      </c>
      <c r="B35" s="1" t="s">
        <v>33</v>
      </c>
      <c r="C35" s="2">
        <v>1.2375</v>
      </c>
      <c r="D35" s="3">
        <v>0.2984</v>
      </c>
      <c r="E35" s="19">
        <f t="shared" si="0"/>
        <v>8.9042559999999993E-2</v>
      </c>
      <c r="F35" s="20">
        <f t="shared" si="1"/>
        <v>3.0015562500000006E-2</v>
      </c>
      <c r="G35" s="20">
        <f t="shared" si="2"/>
        <v>5.9026997499999984E-2</v>
      </c>
      <c r="H35" s="21">
        <f t="shared" si="3"/>
        <v>0.33709231293439912</v>
      </c>
      <c r="I35" s="21">
        <f t="shared" si="4"/>
        <v>0.66290768706560088</v>
      </c>
    </row>
    <row r="36" spans="1:9" ht="12.75" customHeight="1" x14ac:dyDescent="0.2">
      <c r="A36" s="1">
        <v>34</v>
      </c>
      <c r="B36" s="1" t="s">
        <v>34</v>
      </c>
      <c r="C36" s="2">
        <v>0.73640000000000005</v>
      </c>
      <c r="D36" s="3">
        <v>0.252336</v>
      </c>
      <c r="E36" s="19">
        <f t="shared" si="0"/>
        <v>6.3673456896E-2</v>
      </c>
      <c r="F36" s="20">
        <f t="shared" si="1"/>
        <v>1.0628785216000003E-2</v>
      </c>
      <c r="G36" s="20">
        <f t="shared" si="2"/>
        <v>5.3044671679999995E-2</v>
      </c>
      <c r="H36" s="21">
        <f t="shared" si="3"/>
        <v>0.16692646723045609</v>
      </c>
      <c r="I36" s="21">
        <f t="shared" si="4"/>
        <v>0.83307353276954388</v>
      </c>
    </row>
    <row r="37" spans="1:9" ht="12.75" customHeight="1" x14ac:dyDescent="0.2">
      <c r="A37" s="1">
        <v>35</v>
      </c>
      <c r="B37" s="1" t="s">
        <v>35</v>
      </c>
      <c r="C37" s="2">
        <v>1.0732999999999999</v>
      </c>
      <c r="D37" s="3">
        <v>0.322432</v>
      </c>
      <c r="E37" s="19">
        <f t="shared" si="0"/>
        <v>0.103962394624</v>
      </c>
      <c r="F37" s="20">
        <f t="shared" si="1"/>
        <v>2.2578668644000002E-2</v>
      </c>
      <c r="G37" s="20">
        <f t="shared" si="2"/>
        <v>8.1383725980000002E-2</v>
      </c>
      <c r="H37" s="21">
        <f t="shared" si="3"/>
        <v>0.21718111366768822</v>
      </c>
      <c r="I37" s="21">
        <f t="shared" si="4"/>
        <v>0.78281888633231178</v>
      </c>
    </row>
    <row r="38" spans="1:9" ht="12.75" customHeight="1" x14ac:dyDescent="0.2">
      <c r="A38" s="1">
        <v>36</v>
      </c>
      <c r="B38" s="1" t="s">
        <v>36</v>
      </c>
      <c r="C38" s="2">
        <v>0.60470000000000002</v>
      </c>
      <c r="D38" s="3">
        <v>0.23459199999999999</v>
      </c>
      <c r="E38" s="19">
        <f t="shared" si="0"/>
        <v>5.5033406463999998E-2</v>
      </c>
      <c r="F38" s="20">
        <f t="shared" si="1"/>
        <v>7.1669769640000007E-3</v>
      </c>
      <c r="G38" s="20">
        <f t="shared" si="2"/>
        <v>4.7866429499999995E-2</v>
      </c>
      <c r="H38" s="21">
        <f t="shared" si="3"/>
        <v>0.13022957189990167</v>
      </c>
      <c r="I38" s="21">
        <f t="shared" si="4"/>
        <v>0.8697704281000983</v>
      </c>
    </row>
    <row r="39" spans="1:9" ht="12.75" customHeight="1" x14ac:dyDescent="0.2">
      <c r="A39" s="1">
        <v>37</v>
      </c>
      <c r="B39" s="1" t="s">
        <v>37</v>
      </c>
      <c r="C39" s="2">
        <v>1.1950000000000001</v>
      </c>
      <c r="D39" s="3">
        <v>0.298176</v>
      </c>
      <c r="E39" s="19">
        <f t="shared" si="0"/>
        <v>8.8908926976000002E-2</v>
      </c>
      <c r="F39" s="20">
        <f t="shared" si="1"/>
        <v>2.7989290000000007E-2</v>
      </c>
      <c r="G39" s="20">
        <f t="shared" si="2"/>
        <v>6.0919636975999995E-2</v>
      </c>
      <c r="H39" s="21">
        <f t="shared" si="3"/>
        <v>0.31480854568805461</v>
      </c>
      <c r="I39" s="21">
        <f t="shared" si="4"/>
        <v>0.68519145431194539</v>
      </c>
    </row>
    <row r="40" spans="1:9" ht="12.75" customHeight="1" x14ac:dyDescent="0.2">
      <c r="A40" s="1">
        <v>38</v>
      </c>
      <c r="B40" s="1" t="s">
        <v>38</v>
      </c>
      <c r="C40" s="2">
        <v>1.4470000000000001</v>
      </c>
      <c r="D40" s="3">
        <v>0.30676799999999999</v>
      </c>
      <c r="E40" s="19">
        <f t="shared" si="0"/>
        <v>9.4106605823999989E-2</v>
      </c>
      <c r="F40" s="20">
        <f t="shared" si="1"/>
        <v>4.1038656400000012E-2</v>
      </c>
      <c r="G40" s="20">
        <f t="shared" si="2"/>
        <v>5.3067949423999977E-2</v>
      </c>
      <c r="H40" s="21">
        <f t="shared" si="3"/>
        <v>0.4360868829628316</v>
      </c>
      <c r="I40" s="21">
        <f t="shared" si="4"/>
        <v>0.5639131170371684</v>
      </c>
    </row>
    <row r="41" spans="1:9" ht="12.75" customHeight="1" x14ac:dyDescent="0.2">
      <c r="A41" s="1">
        <v>39</v>
      </c>
      <c r="B41" s="1" t="s">
        <v>39</v>
      </c>
      <c r="C41" s="2">
        <v>0.74939999999999996</v>
      </c>
      <c r="D41" s="3">
        <v>0.36863999999999997</v>
      </c>
      <c r="E41" s="19">
        <f t="shared" si="0"/>
        <v>0.13589544959999997</v>
      </c>
      <c r="F41" s="20">
        <f t="shared" si="1"/>
        <v>1.1007367056E-2</v>
      </c>
      <c r="G41" s="20">
        <f t="shared" si="2"/>
        <v>0.12488808254399997</v>
      </c>
      <c r="H41" s="21">
        <f t="shared" si="3"/>
        <v>8.0998790529039189E-2</v>
      </c>
      <c r="I41" s="21">
        <f t="shared" si="4"/>
        <v>0.91900120947096076</v>
      </c>
    </row>
    <row r="42" spans="1:9" ht="12.75" customHeight="1" x14ac:dyDescent="0.2">
      <c r="A42" s="1">
        <v>40</v>
      </c>
      <c r="B42" s="1" t="s">
        <v>40</v>
      </c>
      <c r="C42" s="2">
        <v>1.7586999999999999</v>
      </c>
      <c r="D42" s="3">
        <v>0.49212800000000001</v>
      </c>
      <c r="E42" s="19">
        <f t="shared" si="0"/>
        <v>0.242189968384</v>
      </c>
      <c r="F42" s="20">
        <f t="shared" si="1"/>
        <v>6.0623303524000006E-2</v>
      </c>
      <c r="G42" s="20">
        <f t="shared" si="2"/>
        <v>0.18156666486</v>
      </c>
      <c r="H42" s="21">
        <f t="shared" si="3"/>
        <v>0.25031302464138316</v>
      </c>
      <c r="I42" s="21">
        <f t="shared" si="4"/>
        <v>0.74968697535861684</v>
      </c>
    </row>
    <row r="43" spans="1:9" ht="12.75" customHeight="1" x14ac:dyDescent="0.2">
      <c r="A43" s="1">
        <v>41</v>
      </c>
      <c r="B43" s="1" t="s">
        <v>41</v>
      </c>
      <c r="C43" s="2">
        <v>1.2347999999999999</v>
      </c>
      <c r="D43" s="3">
        <v>0.34529600000000005</v>
      </c>
      <c r="E43" s="19">
        <f t="shared" si="0"/>
        <v>0.11922932761600004</v>
      </c>
      <c r="F43" s="20">
        <f t="shared" si="1"/>
        <v>2.9884728384000001E-2</v>
      </c>
      <c r="G43" s="20">
        <f t="shared" si="2"/>
        <v>8.9344599232000041E-2</v>
      </c>
      <c r="H43" s="21">
        <f t="shared" si="3"/>
        <v>0.25064913961646468</v>
      </c>
      <c r="I43" s="21">
        <f t="shared" si="4"/>
        <v>0.74935086038353538</v>
      </c>
    </row>
    <row r="44" spans="1:9" ht="12.75" customHeight="1" x14ac:dyDescent="0.2">
      <c r="A44" s="1">
        <v>42</v>
      </c>
      <c r="B44" s="1" t="s">
        <v>42</v>
      </c>
      <c r="C44" s="2">
        <v>0.48730000000000001</v>
      </c>
      <c r="D44" s="3">
        <v>0.25072</v>
      </c>
      <c r="E44" s="19">
        <f t="shared" si="0"/>
        <v>6.2860518399999996E-2</v>
      </c>
      <c r="F44" s="20">
        <f t="shared" si="1"/>
        <v>4.6542412840000014E-3</v>
      </c>
      <c r="G44" s="20">
        <f t="shared" si="2"/>
        <v>5.8206277115999995E-2</v>
      </c>
      <c r="H44" s="21">
        <f t="shared" si="3"/>
        <v>7.4040771575946809E-2</v>
      </c>
      <c r="I44" s="21">
        <f t="shared" si="4"/>
        <v>0.9259592284240532</v>
      </c>
    </row>
    <row r="45" spans="1:9" ht="12.75" customHeight="1" x14ac:dyDescent="0.2">
      <c r="A45" s="1">
        <v>43</v>
      </c>
      <c r="B45" s="1" t="s">
        <v>43</v>
      </c>
      <c r="C45" s="2">
        <v>0.55259999999999998</v>
      </c>
      <c r="D45" s="3">
        <v>0.277536</v>
      </c>
      <c r="E45" s="19">
        <f t="shared" si="0"/>
        <v>7.7026231296000003E-2</v>
      </c>
      <c r="F45" s="20">
        <f t="shared" si="1"/>
        <v>5.9851884960000004E-3</v>
      </c>
      <c r="G45" s="20">
        <f t="shared" si="2"/>
        <v>7.1041042800000009E-2</v>
      </c>
      <c r="H45" s="21">
        <f t="shared" si="3"/>
        <v>7.7703249857828796E-2</v>
      </c>
      <c r="I45" s="21">
        <f t="shared" si="4"/>
        <v>0.92229675014217127</v>
      </c>
    </row>
    <row r="46" spans="1:9" ht="12.75" customHeight="1" x14ac:dyDescent="0.2">
      <c r="A46" s="1">
        <v>44</v>
      </c>
      <c r="B46" s="1" t="s">
        <v>44</v>
      </c>
      <c r="C46" s="2">
        <v>0.83750000000000002</v>
      </c>
      <c r="D46" s="3">
        <v>0.28798400000000002</v>
      </c>
      <c r="E46" s="19">
        <f t="shared" si="0"/>
        <v>8.293478425600001E-2</v>
      </c>
      <c r="F46" s="20">
        <f t="shared" si="1"/>
        <v>1.3747562500000003E-2</v>
      </c>
      <c r="G46" s="20">
        <f t="shared" si="2"/>
        <v>6.9187221756000006E-2</v>
      </c>
      <c r="H46" s="21">
        <f t="shared" si="3"/>
        <v>0.16576352881758921</v>
      </c>
      <c r="I46" s="21">
        <f t="shared" si="4"/>
        <v>0.83423647118241073</v>
      </c>
    </row>
    <row r="47" spans="1:9" ht="12.75" customHeight="1" x14ac:dyDescent="0.2">
      <c r="A47" s="1">
        <v>45</v>
      </c>
      <c r="B47" s="1" t="s">
        <v>45</v>
      </c>
      <c r="C47" s="2">
        <v>1.2029000000000001</v>
      </c>
      <c r="D47" s="3">
        <v>0.28648000000000001</v>
      </c>
      <c r="E47" s="19">
        <f t="shared" si="0"/>
        <v>8.207079040000001E-2</v>
      </c>
      <c r="F47" s="20">
        <f t="shared" si="1"/>
        <v>2.8360580836000009E-2</v>
      </c>
      <c r="G47" s="20">
        <f t="shared" si="2"/>
        <v>5.3710209564000001E-2</v>
      </c>
      <c r="H47" s="21">
        <f t="shared" si="3"/>
        <v>0.34556241870920262</v>
      </c>
      <c r="I47" s="21">
        <f t="shared" si="4"/>
        <v>0.65443758129079743</v>
      </c>
    </row>
    <row r="48" spans="1:9" ht="12.75" customHeight="1" x14ac:dyDescent="0.2">
      <c r="A48" s="1">
        <v>46</v>
      </c>
      <c r="B48" s="1" t="s">
        <v>46</v>
      </c>
      <c r="C48" s="2">
        <v>1.1354</v>
      </c>
      <c r="D48" s="3">
        <v>0.34676800000000002</v>
      </c>
      <c r="E48" s="19">
        <f t="shared" si="0"/>
        <v>0.12024804582400002</v>
      </c>
      <c r="F48" s="20">
        <f t="shared" si="1"/>
        <v>2.5267009936000003E-2</v>
      </c>
      <c r="G48" s="20">
        <f t="shared" si="2"/>
        <v>9.4981035888000012E-2</v>
      </c>
      <c r="H48" s="21">
        <f t="shared" si="3"/>
        <v>0.21012407946306119</v>
      </c>
      <c r="I48" s="21">
        <f t="shared" si="4"/>
        <v>0.78987592053693878</v>
      </c>
    </row>
    <row r="49" spans="1:9" ht="12.75" customHeight="1" x14ac:dyDescent="0.2">
      <c r="A49" s="1">
        <v>47</v>
      </c>
      <c r="B49" s="1" t="s">
        <v>47</v>
      </c>
      <c r="C49" s="2">
        <v>1.3348</v>
      </c>
      <c r="D49" s="3">
        <v>0.42688000000000004</v>
      </c>
      <c r="E49" s="19">
        <f t="shared" si="0"/>
        <v>0.18222653440000003</v>
      </c>
      <c r="F49" s="20">
        <f t="shared" si="1"/>
        <v>3.4921144384E-2</v>
      </c>
      <c r="G49" s="20">
        <f t="shared" si="2"/>
        <v>0.14730539001600002</v>
      </c>
      <c r="H49" s="21">
        <f t="shared" si="3"/>
        <v>0.19163589155103855</v>
      </c>
      <c r="I49" s="21">
        <f t="shared" si="4"/>
        <v>0.80836410844896134</v>
      </c>
    </row>
    <row r="50" spans="1:9" ht="12.75" customHeight="1" x14ac:dyDescent="0.2">
      <c r="A50" s="1">
        <v>48</v>
      </c>
      <c r="B50" s="1" t="s">
        <v>48</v>
      </c>
      <c r="C50" s="2">
        <v>0.35680000000000001</v>
      </c>
      <c r="D50" s="3">
        <v>0.24086400000000002</v>
      </c>
      <c r="E50" s="19">
        <f t="shared" si="0"/>
        <v>5.8015466496000014E-2</v>
      </c>
      <c r="F50" s="20">
        <f t="shared" si="1"/>
        <v>2.4952023040000007E-3</v>
      </c>
      <c r="G50" s="20">
        <f t="shared" si="2"/>
        <v>5.5520264192000013E-2</v>
      </c>
      <c r="H50" s="21">
        <f t="shared" si="3"/>
        <v>4.3009260369767724E-2</v>
      </c>
      <c r="I50" s="21">
        <f t="shared" si="4"/>
        <v>0.95699073963023229</v>
      </c>
    </row>
    <row r="51" spans="1:9" ht="12.75" customHeight="1" x14ac:dyDescent="0.2">
      <c r="A51" s="1">
        <v>49</v>
      </c>
      <c r="B51" s="1" t="s">
        <v>49</v>
      </c>
      <c r="C51" s="2">
        <v>1.5898000000000001</v>
      </c>
      <c r="D51" s="3">
        <v>0.84575999999999996</v>
      </c>
      <c r="E51" s="19">
        <f t="shared" si="0"/>
        <v>0.71530997759999992</v>
      </c>
      <c r="F51" s="20">
        <f t="shared" si="1"/>
        <v>4.9538295184000013E-2</v>
      </c>
      <c r="G51" s="20">
        <f t="shared" si="2"/>
        <v>0.66577168241599993</v>
      </c>
      <c r="H51" s="21">
        <f t="shared" si="3"/>
        <v>6.9254304756394353E-2</v>
      </c>
      <c r="I51" s="21">
        <f t="shared" si="4"/>
        <v>0.93074569524360573</v>
      </c>
    </row>
    <row r="52" spans="1:9" ht="12.75" customHeight="1" x14ac:dyDescent="0.2">
      <c r="A52" s="1">
        <v>50</v>
      </c>
      <c r="B52" s="1" t="s">
        <v>50</v>
      </c>
      <c r="C52" s="2">
        <v>0.98329999999999995</v>
      </c>
      <c r="D52" s="3">
        <v>0.55977600000000005</v>
      </c>
      <c r="E52" s="19">
        <f t="shared" si="0"/>
        <v>0.31334917017600006</v>
      </c>
      <c r="F52" s="20">
        <f t="shared" si="1"/>
        <v>1.8950826244000001E-2</v>
      </c>
      <c r="G52" s="20">
        <f t="shared" si="2"/>
        <v>0.29439834393200004</v>
      </c>
      <c r="H52" s="21">
        <f t="shared" si="3"/>
        <v>6.0478303591344491E-2</v>
      </c>
      <c r="I52" s="21">
        <f t="shared" si="4"/>
        <v>0.93952169640865546</v>
      </c>
    </row>
    <row r="53" spans="1:9" ht="12.75" customHeight="1" x14ac:dyDescent="0.2">
      <c r="F53" s="4"/>
    </row>
    <row r="54" spans="1:9" ht="12.75" customHeight="1" x14ac:dyDescent="0.2">
      <c r="A54" s="14"/>
      <c r="B54" s="14"/>
      <c r="C54" s="14"/>
      <c r="D54" s="14"/>
      <c r="E54" s="14"/>
      <c r="F54" s="14"/>
    </row>
    <row r="55" spans="1:9" ht="12.75" customHeight="1" x14ac:dyDescent="0.2">
      <c r="A55" s="22" t="s">
        <v>73</v>
      </c>
      <c r="B55" s="22"/>
      <c r="C55" s="22"/>
      <c r="D55" s="22"/>
      <c r="E55" s="22"/>
      <c r="F55" s="22"/>
    </row>
    <row r="56" spans="1:9" ht="12.75" customHeight="1" x14ac:dyDescent="0.2">
      <c r="A56" s="22"/>
      <c r="B56" s="22"/>
      <c r="C56" s="22"/>
      <c r="D56" s="22"/>
      <c r="E56" s="22"/>
      <c r="F56" s="22"/>
    </row>
    <row r="57" spans="1:9" ht="12.75" customHeight="1" x14ac:dyDescent="0.2">
      <c r="A57" s="22"/>
      <c r="B57" s="22"/>
      <c r="C57" s="22"/>
      <c r="D57" s="22"/>
      <c r="E57" s="22"/>
      <c r="F57" s="22"/>
    </row>
    <row r="58" spans="1:9" ht="12.75" customHeight="1" x14ac:dyDescent="0.2">
      <c r="A58" s="22"/>
      <c r="B58" s="22"/>
      <c r="C58" s="22"/>
      <c r="D58" s="22"/>
      <c r="E58" s="22"/>
      <c r="F58" s="22"/>
    </row>
    <row r="59" spans="1:9" ht="12.75" customHeight="1" x14ac:dyDescent="0.2">
      <c r="A59" s="22"/>
      <c r="B59" s="22"/>
      <c r="C59" s="22"/>
      <c r="D59" s="22"/>
      <c r="E59" s="22"/>
      <c r="F59" s="22"/>
    </row>
  </sheetData>
  <mergeCells count="2">
    <mergeCell ref="A54:F54"/>
    <mergeCell ref="A55:F59"/>
  </mergeCells>
  <phoneticPr fontId="0" type="noConversion"/>
  <pageMargins left="0.75" right="0.75" top="1" bottom="1" header="0.5" footer="0.5"/>
  <pageSetup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50"/>
  <sheetViews>
    <sheetView tabSelected="1" workbookViewId="0">
      <selection activeCell="H9" sqref="H9"/>
    </sheetView>
  </sheetViews>
  <sheetFormatPr defaultRowHeight="12.75" x14ac:dyDescent="0.2"/>
  <cols>
    <col min="1" max="1" width="13.7109375" customWidth="1"/>
    <col min="2" max="2" width="22.5703125" bestFit="1" customWidth="1"/>
    <col min="3" max="3" width="23.140625" customWidth="1"/>
    <col min="4" max="4" width="8.7109375" customWidth="1"/>
    <col min="6" max="6" width="10.140625" bestFit="1" customWidth="1"/>
    <col min="7" max="7" width="17.28515625" customWidth="1"/>
    <col min="8" max="8" width="19.140625" customWidth="1"/>
    <col min="10" max="10" width="22" customWidth="1"/>
    <col min="11" max="11" width="29.5703125" customWidth="1"/>
    <col min="12" max="12" width="28.140625" customWidth="1"/>
  </cols>
  <sheetData>
    <row r="1" spans="1:15" s="6" customFormat="1" x14ac:dyDescent="0.2">
      <c r="A1" s="6" t="s">
        <v>53</v>
      </c>
      <c r="B1" s="6" t="s">
        <v>56</v>
      </c>
      <c r="C1" s="5" t="s">
        <v>54</v>
      </c>
      <c r="D1" t="s">
        <v>74</v>
      </c>
      <c r="E1" t="s">
        <v>75</v>
      </c>
      <c r="F1"/>
      <c r="G1"/>
      <c r="H1" s="16"/>
      <c r="I1" s="16"/>
      <c r="J1" s="15"/>
      <c r="K1" s="15" t="s">
        <v>76</v>
      </c>
      <c r="L1"/>
      <c r="M1"/>
      <c r="N1"/>
      <c r="O1"/>
    </row>
    <row r="2" spans="1:15" x14ac:dyDescent="0.2">
      <c r="A2" s="10">
        <v>45870</v>
      </c>
      <c r="B2" s="11">
        <v>2434</v>
      </c>
      <c r="C2">
        <v>24565.35</v>
      </c>
      <c r="H2" s="16"/>
      <c r="I2" s="16"/>
      <c r="J2" s="15"/>
      <c r="K2" s="15" t="s">
        <v>77</v>
      </c>
      <c r="N2" s="15" t="s">
        <v>78</v>
      </c>
    </row>
    <row r="3" spans="1:15" x14ac:dyDescent="0.2">
      <c r="A3" s="10">
        <v>45873</v>
      </c>
      <c r="B3" s="11">
        <v>2450</v>
      </c>
      <c r="C3">
        <v>24722.75</v>
      </c>
      <c r="D3" s="23">
        <f>B3/B2-1</f>
        <v>6.5735414954806171E-3</v>
      </c>
      <c r="E3" s="23">
        <f>C3/C2-1</f>
        <v>6.4073990397044422E-3</v>
      </c>
      <c r="G3" s="17" t="s">
        <v>122</v>
      </c>
      <c r="H3" s="16" t="s">
        <v>80</v>
      </c>
      <c r="I3" s="16" t="s">
        <v>81</v>
      </c>
      <c r="J3" s="15"/>
      <c r="K3" s="15" t="s">
        <v>82</v>
      </c>
    </row>
    <row r="4" spans="1:15" x14ac:dyDescent="0.2">
      <c r="A4" s="10">
        <v>45874</v>
      </c>
      <c r="B4" s="11">
        <v>2434.9</v>
      </c>
      <c r="C4">
        <v>24649.55</v>
      </c>
      <c r="D4" s="23">
        <f t="shared" ref="D4:D67" si="0">B4/B3-1</f>
        <v>-6.1632653061224341E-3</v>
      </c>
      <c r="E4" s="23">
        <f t="shared" ref="E4:E67" si="1">C4/C3-1</f>
        <v>-2.9608356675532299E-3</v>
      </c>
      <c r="G4" s="15" t="s">
        <v>83</v>
      </c>
      <c r="H4" s="24">
        <f>_xlfn.VAR.S(D3:D250)</f>
        <v>2.3540927709147087E-4</v>
      </c>
      <c r="I4" s="24">
        <f>_xlfn.VAR.S(E3:E250)</f>
        <v>7.9680896219978922E-5</v>
      </c>
      <c r="J4" s="15"/>
      <c r="K4" s="15" t="s">
        <v>83</v>
      </c>
      <c r="L4" s="25" t="s">
        <v>84</v>
      </c>
    </row>
    <row r="5" spans="1:15" x14ac:dyDescent="0.2">
      <c r="A5" s="10">
        <v>45875</v>
      </c>
      <c r="B5" s="11">
        <v>2484.1</v>
      </c>
      <c r="C5">
        <v>24574.2</v>
      </c>
      <c r="D5" s="23">
        <f t="shared" si="0"/>
        <v>2.0206168631155208E-2</v>
      </c>
      <c r="E5" s="23">
        <f t="shared" si="1"/>
        <v>-3.0568509364268248E-3</v>
      </c>
      <c r="G5" s="15" t="s">
        <v>85</v>
      </c>
      <c r="H5" s="16">
        <f>COUNT(D3:D250)</f>
        <v>248</v>
      </c>
      <c r="I5" s="16">
        <f>COUNT(E3:E250)</f>
        <v>248</v>
      </c>
      <c r="J5" s="15" t="s">
        <v>86</v>
      </c>
    </row>
    <row r="6" spans="1:15" x14ac:dyDescent="0.2">
      <c r="A6" s="10">
        <v>45876</v>
      </c>
      <c r="B6" s="11">
        <v>2508</v>
      </c>
      <c r="C6">
        <v>24596.15</v>
      </c>
      <c r="D6" s="23">
        <f t="shared" si="0"/>
        <v>9.6211907733183555E-3</v>
      </c>
      <c r="E6" s="23">
        <f t="shared" si="1"/>
        <v>8.9321320734758736E-4</v>
      </c>
      <c r="G6" s="15" t="s">
        <v>87</v>
      </c>
      <c r="H6" s="24">
        <f>H4*H5</f>
        <v>5.8381500718684774E-2</v>
      </c>
      <c r="I6" s="24">
        <f>I4*I5</f>
        <v>1.9760862262554774E-2</v>
      </c>
      <c r="J6" s="15"/>
      <c r="K6" s="15" t="s">
        <v>87</v>
      </c>
      <c r="L6" s="25" t="s">
        <v>88</v>
      </c>
    </row>
    <row r="7" spans="1:15" x14ac:dyDescent="0.2">
      <c r="A7" s="10">
        <v>45877</v>
      </c>
      <c r="B7" s="11">
        <v>2476</v>
      </c>
      <c r="C7">
        <v>24363.3</v>
      </c>
      <c r="D7" s="23">
        <f t="shared" si="0"/>
        <v>-1.2759170653907526E-2</v>
      </c>
      <c r="E7" s="23">
        <f t="shared" si="1"/>
        <v>-9.4669287673071478E-3</v>
      </c>
      <c r="G7" s="15" t="s">
        <v>89</v>
      </c>
      <c r="H7" s="26">
        <f>SQRT(H6)</f>
        <v>0.24162264115493146</v>
      </c>
      <c r="I7" s="26">
        <f>SQRT(I6)</f>
        <v>0.14057333410912176</v>
      </c>
      <c r="J7" s="15"/>
      <c r="K7" s="15" t="s">
        <v>89</v>
      </c>
      <c r="L7" s="25" t="s">
        <v>90</v>
      </c>
    </row>
    <row r="8" spans="1:15" x14ac:dyDescent="0.2">
      <c r="A8" s="10">
        <v>45880</v>
      </c>
      <c r="B8" s="11">
        <v>2491.4</v>
      </c>
      <c r="C8">
        <v>24585.05</v>
      </c>
      <c r="D8" s="23">
        <f t="shared" si="0"/>
        <v>6.2197092084006478E-3</v>
      </c>
      <c r="E8" s="23">
        <f t="shared" si="1"/>
        <v>9.1018047637225763E-3</v>
      </c>
      <c r="G8" s="15" t="s">
        <v>91</v>
      </c>
      <c r="H8" s="27">
        <f>_xlfn.COVARIANCE.S(D3:D250,E3:E250)*H5</f>
        <v>6.9587505225879331E-4</v>
      </c>
      <c r="I8" s="24"/>
      <c r="J8" s="15"/>
      <c r="K8" s="15" t="s">
        <v>91</v>
      </c>
      <c r="L8" s="25" t="s">
        <v>92</v>
      </c>
    </row>
    <row r="9" spans="1:15" x14ac:dyDescent="0.2">
      <c r="A9" s="10">
        <v>45881</v>
      </c>
      <c r="B9" s="11">
        <v>2479.8000000000002</v>
      </c>
      <c r="C9">
        <v>24487.4</v>
      </c>
      <c r="D9" s="23">
        <f t="shared" si="0"/>
        <v>-4.6560166974392025E-3</v>
      </c>
      <c r="E9" s="23">
        <f t="shared" si="1"/>
        <v>-3.9719260282162772E-3</v>
      </c>
      <c r="G9" s="15" t="s">
        <v>93</v>
      </c>
      <c r="H9" s="28">
        <f>CORREL(D3:D250,E3:E250)</f>
        <v>2.0487581497285554E-2</v>
      </c>
      <c r="I9" s="16">
        <v>1</v>
      </c>
      <c r="J9" s="15"/>
      <c r="K9" s="15" t="s">
        <v>93</v>
      </c>
      <c r="L9" s="25" t="s">
        <v>94</v>
      </c>
    </row>
    <row r="10" spans="1:15" x14ac:dyDescent="0.2">
      <c r="A10" s="10">
        <v>45882</v>
      </c>
      <c r="B10" s="11">
        <v>2501</v>
      </c>
      <c r="C10">
        <v>24619.35</v>
      </c>
      <c r="D10" s="23">
        <f t="shared" si="0"/>
        <v>8.5490765384304002E-3</v>
      </c>
      <c r="E10" s="23">
        <f t="shared" si="1"/>
        <v>5.3884855068320192E-3</v>
      </c>
      <c r="G10" s="15" t="s">
        <v>95</v>
      </c>
      <c r="H10" s="28">
        <f>SLOPE(D3:D250,E3:E250)</f>
        <v>3.5214812137900495E-2</v>
      </c>
      <c r="I10" s="16">
        <v>1</v>
      </c>
      <c r="J10" s="17" t="s">
        <v>96</v>
      </c>
      <c r="K10" s="15" t="s">
        <v>95</v>
      </c>
      <c r="L10" s="25" t="s">
        <v>97</v>
      </c>
    </row>
    <row r="11" spans="1:15" x14ac:dyDescent="0.2">
      <c r="A11" s="10">
        <v>45883</v>
      </c>
      <c r="B11" s="11">
        <v>2530</v>
      </c>
      <c r="C11">
        <v>24631.3</v>
      </c>
      <c r="D11" s="23">
        <f t="shared" si="0"/>
        <v>1.1595361855258002E-2</v>
      </c>
      <c r="E11" s="23">
        <f t="shared" si="1"/>
        <v>4.8539055661511732E-4</v>
      </c>
      <c r="G11" s="15" t="s">
        <v>95</v>
      </c>
      <c r="H11" s="28">
        <f>H8/I6</f>
        <v>3.5214812137900474E-2</v>
      </c>
      <c r="I11" s="16">
        <v>1</v>
      </c>
      <c r="J11" s="15" t="s">
        <v>98</v>
      </c>
      <c r="K11" s="15" t="s">
        <v>95</v>
      </c>
      <c r="L11" s="25" t="s">
        <v>99</v>
      </c>
    </row>
    <row r="12" spans="1:15" x14ac:dyDescent="0.2">
      <c r="A12" s="10">
        <v>45887</v>
      </c>
      <c r="B12" s="11">
        <v>2589.9</v>
      </c>
      <c r="C12">
        <v>24876.95</v>
      </c>
      <c r="D12" s="23">
        <f t="shared" si="0"/>
        <v>2.3675889328063304E-2</v>
      </c>
      <c r="E12" s="23">
        <f t="shared" si="1"/>
        <v>9.9730830285045258E-3</v>
      </c>
      <c r="G12" s="15" t="s">
        <v>95</v>
      </c>
      <c r="H12" s="28">
        <f>H9*(H7/I7)</f>
        <v>3.5214812137900481E-2</v>
      </c>
      <c r="I12" s="16">
        <v>1</v>
      </c>
      <c r="J12" s="15" t="s">
        <v>100</v>
      </c>
      <c r="K12" s="15" t="s">
        <v>95</v>
      </c>
      <c r="L12" s="25" t="s">
        <v>101</v>
      </c>
    </row>
    <row r="13" spans="1:15" x14ac:dyDescent="0.2">
      <c r="A13" s="10">
        <v>45888</v>
      </c>
      <c r="B13" s="11">
        <v>2581</v>
      </c>
      <c r="C13">
        <v>24980.65</v>
      </c>
      <c r="D13" s="23">
        <f t="shared" si="0"/>
        <v>-3.4364261168384758E-3</v>
      </c>
      <c r="E13" s="23">
        <f t="shared" si="1"/>
        <v>4.1685174428538474E-3</v>
      </c>
      <c r="G13" s="15"/>
      <c r="H13" s="29"/>
      <c r="I13" s="16"/>
      <c r="J13" s="15"/>
      <c r="K13" s="15"/>
      <c r="L13" s="25"/>
    </row>
    <row r="14" spans="1:15" x14ac:dyDescent="0.2">
      <c r="A14" s="10">
        <v>45889</v>
      </c>
      <c r="B14" s="11">
        <v>2570.5</v>
      </c>
      <c r="C14">
        <v>25050.55</v>
      </c>
      <c r="D14" s="23">
        <f t="shared" si="0"/>
        <v>-4.0681906237892695E-3</v>
      </c>
      <c r="E14" s="23">
        <f t="shared" si="1"/>
        <v>2.7981657803137772E-3</v>
      </c>
      <c r="H14" s="16"/>
      <c r="I14" s="16"/>
      <c r="J14" s="15"/>
    </row>
    <row r="15" spans="1:15" x14ac:dyDescent="0.2">
      <c r="A15" s="10">
        <v>45890</v>
      </c>
      <c r="B15" s="11">
        <v>2569</v>
      </c>
      <c r="C15">
        <v>25083.75</v>
      </c>
      <c r="D15" s="23">
        <f t="shared" si="0"/>
        <v>-5.8354405757632399E-4</v>
      </c>
      <c r="E15" s="23">
        <f t="shared" si="1"/>
        <v>1.3253202025504951E-3</v>
      </c>
      <c r="G15" s="15"/>
      <c r="H15" s="29"/>
      <c r="I15" s="29"/>
      <c r="J15" s="15"/>
    </row>
    <row r="16" spans="1:15" x14ac:dyDescent="0.2">
      <c r="A16" s="10">
        <v>45891</v>
      </c>
      <c r="B16" s="11">
        <v>2505</v>
      </c>
      <c r="C16">
        <v>24870.1</v>
      </c>
      <c r="D16" s="23">
        <f t="shared" si="0"/>
        <v>-2.4912417282989541E-2</v>
      </c>
      <c r="E16" s="23">
        <f t="shared" si="1"/>
        <v>-8.5174664872676997E-3</v>
      </c>
      <c r="G16" s="15"/>
      <c r="H16" s="29"/>
      <c r="I16" s="29"/>
      <c r="J16" s="17"/>
    </row>
    <row r="17" spans="1:10" x14ac:dyDescent="0.2">
      <c r="A17" s="10">
        <v>45894</v>
      </c>
      <c r="B17" s="11">
        <v>2494</v>
      </c>
      <c r="C17">
        <v>24967.75</v>
      </c>
      <c r="D17" s="23">
        <f t="shared" si="0"/>
        <v>-4.3912175648702645E-3</v>
      </c>
      <c r="E17" s="23">
        <f t="shared" si="1"/>
        <v>3.9264015826234733E-3</v>
      </c>
      <c r="G17" s="15"/>
      <c r="H17" s="29"/>
      <c r="I17" s="29"/>
      <c r="J17" s="15"/>
    </row>
    <row r="18" spans="1:10" x14ac:dyDescent="0.2">
      <c r="A18" s="10">
        <v>45895</v>
      </c>
      <c r="B18" s="11">
        <v>2493</v>
      </c>
      <c r="C18">
        <v>24712.05</v>
      </c>
      <c r="D18" s="23">
        <f t="shared" si="0"/>
        <v>-4.0096230954289602E-4</v>
      </c>
      <c r="E18" s="23">
        <f t="shared" si="1"/>
        <v>-1.0241211162399511E-2</v>
      </c>
      <c r="G18" s="15"/>
      <c r="H18" s="29"/>
      <c r="I18" s="29"/>
      <c r="J18" s="15"/>
    </row>
    <row r="19" spans="1:10" x14ac:dyDescent="0.2">
      <c r="A19" s="10">
        <v>45897</v>
      </c>
      <c r="B19" s="11">
        <v>2490</v>
      </c>
      <c r="C19">
        <v>24500.9</v>
      </c>
      <c r="D19" s="23">
        <f t="shared" si="0"/>
        <v>-1.2033694344163459E-3</v>
      </c>
      <c r="E19" s="23">
        <f t="shared" si="1"/>
        <v>-8.5444145669824056E-3</v>
      </c>
      <c r="H19" s="16"/>
      <c r="I19" s="16"/>
      <c r="J19" s="15"/>
    </row>
    <row r="20" spans="1:10" x14ac:dyDescent="0.2">
      <c r="A20" s="10">
        <v>45898</v>
      </c>
      <c r="B20" s="11">
        <v>2520</v>
      </c>
      <c r="C20">
        <v>24426.85</v>
      </c>
      <c r="D20" s="23">
        <f t="shared" si="0"/>
        <v>1.2048192771084265E-2</v>
      </c>
      <c r="E20" s="23">
        <f t="shared" si="1"/>
        <v>-3.0223379549323415E-3</v>
      </c>
      <c r="H20" s="16"/>
      <c r="I20" s="16"/>
      <c r="J20" s="15"/>
    </row>
    <row r="21" spans="1:10" x14ac:dyDescent="0.2">
      <c r="A21" s="10">
        <v>45901</v>
      </c>
      <c r="B21" s="11">
        <v>2570</v>
      </c>
      <c r="C21">
        <v>24625.05</v>
      </c>
      <c r="D21" s="23">
        <f t="shared" si="0"/>
        <v>1.9841269841269771E-2</v>
      </c>
      <c r="E21" s="23">
        <f t="shared" si="1"/>
        <v>8.1140220699762455E-3</v>
      </c>
      <c r="H21" s="16"/>
      <c r="I21" s="16"/>
      <c r="J21" s="15"/>
    </row>
    <row r="22" spans="1:10" x14ac:dyDescent="0.2">
      <c r="A22" s="10">
        <v>45902</v>
      </c>
      <c r="B22" s="11">
        <v>2538</v>
      </c>
      <c r="C22">
        <v>24579.599999999999</v>
      </c>
      <c r="D22" s="23">
        <f t="shared" si="0"/>
        <v>-1.2451361867704236E-2</v>
      </c>
      <c r="E22" s="23">
        <f t="shared" si="1"/>
        <v>-1.8456815316111319E-3</v>
      </c>
      <c r="H22" s="16"/>
      <c r="I22" s="16"/>
      <c r="J22" s="15"/>
    </row>
    <row r="23" spans="1:10" x14ac:dyDescent="0.2">
      <c r="A23" s="10">
        <v>45903</v>
      </c>
      <c r="B23" s="11">
        <v>2560</v>
      </c>
      <c r="C23">
        <v>24715.05</v>
      </c>
      <c r="D23" s="23">
        <f t="shared" si="0"/>
        <v>8.6682427107958038E-3</v>
      </c>
      <c r="E23" s="23">
        <f t="shared" si="1"/>
        <v>5.510667382707668E-3</v>
      </c>
      <c r="H23" s="16"/>
      <c r="I23" s="16"/>
      <c r="J23" s="15"/>
    </row>
    <row r="24" spans="1:10" x14ac:dyDescent="0.2">
      <c r="A24" s="10">
        <v>45904</v>
      </c>
      <c r="B24" s="11">
        <v>2570</v>
      </c>
      <c r="C24">
        <v>24734.3</v>
      </c>
      <c r="D24" s="23">
        <f t="shared" si="0"/>
        <v>3.90625E-3</v>
      </c>
      <c r="E24" s="23">
        <f t="shared" si="1"/>
        <v>7.7887764742534671E-4</v>
      </c>
      <c r="H24" s="16"/>
      <c r="I24" s="16"/>
      <c r="J24" s="15"/>
    </row>
    <row r="25" spans="1:10" x14ac:dyDescent="0.2">
      <c r="A25" s="10">
        <v>45905</v>
      </c>
      <c r="B25" s="11">
        <v>2581.9</v>
      </c>
      <c r="C25">
        <v>24741</v>
      </c>
      <c r="D25" s="23">
        <f t="shared" si="0"/>
        <v>4.6303501945526016E-3</v>
      </c>
      <c r="E25" s="23">
        <f t="shared" si="1"/>
        <v>2.7087890095933709E-4</v>
      </c>
      <c r="H25" s="16"/>
      <c r="I25" s="16"/>
      <c r="J25" s="15"/>
    </row>
    <row r="26" spans="1:10" x14ac:dyDescent="0.2">
      <c r="A26" s="10">
        <v>45908</v>
      </c>
      <c r="B26" s="11">
        <v>2535</v>
      </c>
      <c r="C26">
        <v>24773.15</v>
      </c>
      <c r="D26" s="23">
        <f t="shared" si="0"/>
        <v>-1.8164917308958528E-2</v>
      </c>
      <c r="E26" s="23">
        <f t="shared" si="1"/>
        <v>1.2994624307829383E-3</v>
      </c>
      <c r="H26" s="16"/>
      <c r="I26" s="16"/>
      <c r="J26" s="15"/>
    </row>
    <row r="27" spans="1:10" x14ac:dyDescent="0.2">
      <c r="A27" s="10">
        <v>45909</v>
      </c>
      <c r="B27" s="11">
        <v>2541.3000000000002</v>
      </c>
      <c r="C27">
        <v>24868.6</v>
      </c>
      <c r="D27" s="23">
        <f t="shared" si="0"/>
        <v>2.4852071005918575E-3</v>
      </c>
      <c r="E27" s="23">
        <f t="shared" si="1"/>
        <v>3.8529617751474898E-3</v>
      </c>
      <c r="H27" s="16"/>
      <c r="I27" s="16"/>
      <c r="J27" s="15"/>
    </row>
    <row r="28" spans="1:10" x14ac:dyDescent="0.2">
      <c r="A28" s="10">
        <v>45910</v>
      </c>
      <c r="B28" s="11">
        <v>2541</v>
      </c>
      <c r="C28">
        <v>24973.1</v>
      </c>
      <c r="D28" s="23">
        <f t="shared" si="0"/>
        <v>-1.1804981702290274E-4</v>
      </c>
      <c r="E28" s="23">
        <f t="shared" si="1"/>
        <v>4.2020861648826013E-3</v>
      </c>
      <c r="H28" s="16"/>
      <c r="I28" s="16"/>
      <c r="J28" s="15"/>
    </row>
    <row r="29" spans="1:10" x14ac:dyDescent="0.2">
      <c r="A29" s="10">
        <v>45911</v>
      </c>
      <c r="B29" s="11">
        <v>2558</v>
      </c>
      <c r="C29">
        <v>25005.5</v>
      </c>
      <c r="D29" s="23">
        <f t="shared" si="0"/>
        <v>6.6902794175520697E-3</v>
      </c>
      <c r="E29" s="23">
        <f t="shared" si="1"/>
        <v>1.2973959980939753E-3</v>
      </c>
      <c r="H29" s="16"/>
      <c r="I29" s="16"/>
      <c r="J29" s="15"/>
    </row>
    <row r="30" spans="1:10" x14ac:dyDescent="0.2">
      <c r="A30" s="10">
        <v>45912</v>
      </c>
      <c r="B30" s="11">
        <v>2540.5</v>
      </c>
      <c r="C30">
        <v>25114</v>
      </c>
      <c r="D30" s="23">
        <f t="shared" si="0"/>
        <v>-6.8412822517591731E-3</v>
      </c>
      <c r="E30" s="23">
        <f t="shared" si="1"/>
        <v>4.3390454100098452E-3</v>
      </c>
      <c r="H30" s="16"/>
      <c r="I30" s="16"/>
      <c r="J30" s="15"/>
    </row>
    <row r="31" spans="1:10" x14ac:dyDescent="0.2">
      <c r="A31" s="10">
        <v>45915</v>
      </c>
      <c r="B31" s="11">
        <v>2504.9</v>
      </c>
      <c r="C31">
        <v>25069.200000000001</v>
      </c>
      <c r="D31" s="23">
        <f t="shared" si="0"/>
        <v>-1.4012989568982448E-2</v>
      </c>
      <c r="E31" s="23">
        <f t="shared" si="1"/>
        <v>-1.7838655729871533E-3</v>
      </c>
      <c r="H31" s="16"/>
      <c r="I31" s="16"/>
      <c r="J31" s="15"/>
    </row>
    <row r="32" spans="1:10" x14ac:dyDescent="0.2">
      <c r="A32" s="10">
        <v>45916</v>
      </c>
      <c r="B32" s="11">
        <v>2482</v>
      </c>
      <c r="C32">
        <v>25239.1</v>
      </c>
      <c r="D32" s="23">
        <f t="shared" si="0"/>
        <v>-9.1420815202204464E-3</v>
      </c>
      <c r="E32" s="23">
        <f t="shared" si="1"/>
        <v>6.7772405980246475E-3</v>
      </c>
      <c r="H32" s="16"/>
      <c r="I32" s="16"/>
      <c r="J32" s="15"/>
    </row>
    <row r="33" spans="1:10" x14ac:dyDescent="0.2">
      <c r="A33" s="10">
        <v>45917</v>
      </c>
      <c r="B33" s="11">
        <v>2494.5</v>
      </c>
      <c r="C33">
        <v>25330.25</v>
      </c>
      <c r="D33" s="23">
        <f t="shared" si="0"/>
        <v>5.0362610797742846E-3</v>
      </c>
      <c r="E33" s="23">
        <f t="shared" si="1"/>
        <v>3.6114599965926253E-3</v>
      </c>
      <c r="H33" s="16"/>
      <c r="I33" s="16"/>
      <c r="J33" s="15"/>
    </row>
    <row r="34" spans="1:10" x14ac:dyDescent="0.2">
      <c r="A34" s="10">
        <v>45918</v>
      </c>
      <c r="B34" s="11">
        <v>2478</v>
      </c>
      <c r="C34">
        <v>25423.599999999999</v>
      </c>
      <c r="D34" s="23">
        <f t="shared" si="0"/>
        <v>-6.6145520144317294E-3</v>
      </c>
      <c r="E34" s="23">
        <f t="shared" si="1"/>
        <v>3.685316962919849E-3</v>
      </c>
      <c r="H34" s="16"/>
      <c r="I34" s="16"/>
      <c r="J34" s="15"/>
    </row>
    <row r="35" spans="1:10" x14ac:dyDescent="0.2">
      <c r="A35" s="10">
        <v>45919</v>
      </c>
      <c r="B35" s="11">
        <v>2495.8000000000002</v>
      </c>
      <c r="C35">
        <v>25327.05</v>
      </c>
      <c r="D35" s="23">
        <f t="shared" si="0"/>
        <v>7.183212267958039E-3</v>
      </c>
      <c r="E35" s="23">
        <f t="shared" si="1"/>
        <v>-3.7976525747730472E-3</v>
      </c>
      <c r="H35" s="16"/>
      <c r="I35" s="16"/>
      <c r="J35" s="15"/>
    </row>
    <row r="36" spans="1:10" x14ac:dyDescent="0.2">
      <c r="A36" s="10">
        <v>45922</v>
      </c>
      <c r="B36" s="11">
        <v>2479.9</v>
      </c>
      <c r="C36">
        <v>25202.35</v>
      </c>
      <c r="D36" s="23">
        <f t="shared" si="0"/>
        <v>-6.3707027806715333E-3</v>
      </c>
      <c r="E36" s="23">
        <f t="shared" si="1"/>
        <v>-4.9235896008418267E-3</v>
      </c>
      <c r="H36" s="16"/>
      <c r="I36" s="16"/>
      <c r="J36" s="15"/>
    </row>
    <row r="37" spans="1:10" x14ac:dyDescent="0.2">
      <c r="A37" s="10">
        <v>45923</v>
      </c>
      <c r="B37" s="11">
        <v>2450</v>
      </c>
      <c r="C37">
        <v>25169.5</v>
      </c>
      <c r="D37" s="23">
        <f t="shared" si="0"/>
        <v>-1.2056937779749255E-2</v>
      </c>
      <c r="E37" s="23">
        <f t="shared" si="1"/>
        <v>-1.3034498766979485E-3</v>
      </c>
      <c r="H37" s="16"/>
      <c r="I37" s="16"/>
      <c r="J37" s="15"/>
    </row>
    <row r="38" spans="1:10" x14ac:dyDescent="0.2">
      <c r="A38" s="10">
        <v>45924</v>
      </c>
      <c r="B38" s="11">
        <v>2458.5</v>
      </c>
      <c r="C38">
        <v>25056.9</v>
      </c>
      <c r="D38" s="23">
        <f t="shared" si="0"/>
        <v>3.4693877551019714E-3</v>
      </c>
      <c r="E38" s="23">
        <f t="shared" si="1"/>
        <v>-4.4736685273842891E-3</v>
      </c>
      <c r="H38" s="16"/>
      <c r="I38" s="16"/>
      <c r="J38" s="15"/>
    </row>
    <row r="39" spans="1:10" x14ac:dyDescent="0.2">
      <c r="A39" s="10">
        <v>45925</v>
      </c>
      <c r="B39" s="11">
        <v>2404</v>
      </c>
      <c r="C39">
        <v>24890.85</v>
      </c>
      <c r="D39" s="23">
        <f t="shared" si="0"/>
        <v>-2.2167988610941602E-2</v>
      </c>
      <c r="E39" s="23">
        <f t="shared" si="1"/>
        <v>-6.6269171365972435E-3</v>
      </c>
      <c r="H39" s="16"/>
      <c r="I39" s="16"/>
      <c r="J39" s="15"/>
    </row>
    <row r="40" spans="1:10" x14ac:dyDescent="0.2">
      <c r="A40" s="10">
        <v>45926</v>
      </c>
      <c r="B40" s="11">
        <v>2342</v>
      </c>
      <c r="C40">
        <v>24654.7</v>
      </c>
      <c r="D40" s="23">
        <f t="shared" si="0"/>
        <v>-2.5790349417637248E-2</v>
      </c>
      <c r="E40" s="23">
        <f t="shared" si="1"/>
        <v>-9.4874220848222279E-3</v>
      </c>
      <c r="H40" s="16"/>
      <c r="I40" s="16"/>
      <c r="J40" s="15"/>
    </row>
    <row r="41" spans="1:10" x14ac:dyDescent="0.2">
      <c r="A41" s="10">
        <v>45929</v>
      </c>
      <c r="B41" s="11">
        <v>2352</v>
      </c>
      <c r="C41">
        <v>24634.9</v>
      </c>
      <c r="D41" s="23">
        <f t="shared" si="0"/>
        <v>4.2698548249360258E-3</v>
      </c>
      <c r="E41" s="23">
        <f t="shared" si="1"/>
        <v>-8.0309231099950917E-4</v>
      </c>
      <c r="H41" s="16"/>
      <c r="I41" s="16"/>
      <c r="J41" s="15"/>
    </row>
    <row r="42" spans="1:10" x14ac:dyDescent="0.2">
      <c r="A42" s="10">
        <v>45930</v>
      </c>
      <c r="B42" s="11">
        <v>2353</v>
      </c>
      <c r="C42">
        <v>24611.1</v>
      </c>
      <c r="D42" s="23">
        <f t="shared" si="0"/>
        <v>4.2517006802711421E-4</v>
      </c>
      <c r="E42" s="23">
        <f t="shared" si="1"/>
        <v>-9.6610905666361102E-4</v>
      </c>
      <c r="H42" s="16"/>
      <c r="I42" s="16"/>
      <c r="J42" s="15"/>
    </row>
    <row r="43" spans="1:10" x14ac:dyDescent="0.2">
      <c r="A43" s="10">
        <v>45931</v>
      </c>
      <c r="B43" s="11">
        <v>2339.6999999999998</v>
      </c>
      <c r="C43">
        <v>24836.3</v>
      </c>
      <c r="D43" s="23">
        <f t="shared" si="0"/>
        <v>-5.652358691032755E-3</v>
      </c>
      <c r="E43" s="23">
        <f t="shared" si="1"/>
        <v>9.1503427315318131E-3</v>
      </c>
      <c r="H43" s="16"/>
      <c r="I43" s="16"/>
      <c r="J43" s="15"/>
    </row>
    <row r="44" spans="1:10" x14ac:dyDescent="0.2">
      <c r="A44" s="10">
        <v>45933</v>
      </c>
      <c r="B44" s="11">
        <v>2358.1</v>
      </c>
      <c r="C44">
        <v>24894.25</v>
      </c>
      <c r="D44" s="23">
        <f t="shared" si="0"/>
        <v>7.8642561012096657E-3</v>
      </c>
      <c r="E44" s="23">
        <f t="shared" si="1"/>
        <v>2.3332783063501061E-3</v>
      </c>
      <c r="H44" s="16"/>
      <c r="I44" s="16"/>
      <c r="J44" s="15"/>
    </row>
    <row r="45" spans="1:10" x14ac:dyDescent="0.2">
      <c r="A45" s="10">
        <v>45936</v>
      </c>
      <c r="B45" s="11">
        <v>2355.1</v>
      </c>
      <c r="C45">
        <v>25077.65</v>
      </c>
      <c r="D45" s="23">
        <f t="shared" si="0"/>
        <v>-1.2722106780882481E-3</v>
      </c>
      <c r="E45" s="23">
        <f t="shared" si="1"/>
        <v>7.3671630999125881E-3</v>
      </c>
      <c r="H45" s="16"/>
      <c r="I45" s="16"/>
      <c r="J45" s="15"/>
    </row>
    <row r="46" spans="1:10" x14ac:dyDescent="0.2">
      <c r="A46" s="10">
        <v>45937</v>
      </c>
      <c r="B46" s="11">
        <v>2368</v>
      </c>
      <c r="C46">
        <v>25108.3</v>
      </c>
      <c r="D46" s="23">
        <f t="shared" si="0"/>
        <v>5.4774744172221279E-3</v>
      </c>
      <c r="E46" s="23">
        <f t="shared" si="1"/>
        <v>1.222203834888802E-3</v>
      </c>
      <c r="H46" s="16"/>
      <c r="I46" s="16"/>
      <c r="J46" s="15"/>
    </row>
    <row r="47" spans="1:10" x14ac:dyDescent="0.2">
      <c r="A47" s="10">
        <v>45937</v>
      </c>
      <c r="B47" s="11">
        <v>2354.6999999999998</v>
      </c>
      <c r="C47">
        <v>25046.15</v>
      </c>
      <c r="D47" s="23">
        <f t="shared" si="0"/>
        <v>-5.6165540540541459E-3</v>
      </c>
      <c r="E47" s="23">
        <f t="shared" si="1"/>
        <v>-2.4752770996043783E-3</v>
      </c>
      <c r="H47" s="16"/>
      <c r="I47" s="16"/>
      <c r="J47" s="15"/>
    </row>
    <row r="48" spans="1:10" x14ac:dyDescent="0.2">
      <c r="A48" s="10">
        <v>45938</v>
      </c>
      <c r="B48" s="11">
        <v>2323</v>
      </c>
      <c r="C48">
        <v>25181.8</v>
      </c>
      <c r="D48" s="23">
        <f t="shared" si="0"/>
        <v>-1.3462436828470592E-2</v>
      </c>
      <c r="E48" s="23">
        <f t="shared" si="1"/>
        <v>5.4160020601967673E-3</v>
      </c>
      <c r="H48" s="16"/>
      <c r="I48" s="16"/>
      <c r="J48" s="15"/>
    </row>
    <row r="49" spans="1:10" x14ac:dyDescent="0.2">
      <c r="A49" s="10">
        <v>45938</v>
      </c>
      <c r="B49" s="11">
        <v>2327</v>
      </c>
      <c r="C49">
        <v>25285.35</v>
      </c>
      <c r="D49" s="23">
        <f t="shared" si="0"/>
        <v>1.7219113215669601E-3</v>
      </c>
      <c r="E49" s="23">
        <f t="shared" si="1"/>
        <v>4.1120968318388851E-3</v>
      </c>
      <c r="H49" s="16"/>
      <c r="I49" s="16"/>
      <c r="J49" s="15"/>
    </row>
    <row r="50" spans="1:10" x14ac:dyDescent="0.2">
      <c r="A50" s="10">
        <v>45939</v>
      </c>
      <c r="B50" s="11">
        <v>2340</v>
      </c>
      <c r="C50">
        <v>25227.35</v>
      </c>
      <c r="D50" s="23">
        <f t="shared" si="0"/>
        <v>5.5865921787709993E-3</v>
      </c>
      <c r="E50" s="23">
        <f t="shared" si="1"/>
        <v>-2.2938183572701609E-3</v>
      </c>
      <c r="H50" s="16"/>
      <c r="I50" s="16"/>
      <c r="J50" s="15"/>
    </row>
    <row r="51" spans="1:10" x14ac:dyDescent="0.2">
      <c r="A51" s="10">
        <v>45940</v>
      </c>
      <c r="B51" s="11">
        <v>2338.6</v>
      </c>
      <c r="C51">
        <v>25145.5</v>
      </c>
      <c r="D51" s="23">
        <f t="shared" si="0"/>
        <v>-5.9829059829064057E-4</v>
      </c>
      <c r="E51" s="23">
        <f t="shared" si="1"/>
        <v>-3.2444945664129587E-3</v>
      </c>
      <c r="H51" s="16"/>
      <c r="I51" s="16"/>
      <c r="J51" s="15"/>
    </row>
    <row r="52" spans="1:10" x14ac:dyDescent="0.2">
      <c r="A52" s="10">
        <v>45943</v>
      </c>
      <c r="B52" s="11">
        <v>2343</v>
      </c>
      <c r="C52">
        <v>25323.55</v>
      </c>
      <c r="D52" s="23">
        <f t="shared" si="0"/>
        <v>1.8814675446849893E-3</v>
      </c>
      <c r="E52" s="23">
        <f t="shared" si="1"/>
        <v>7.0807898033444783E-3</v>
      </c>
      <c r="H52" s="16"/>
      <c r="I52" s="16"/>
      <c r="J52" s="15"/>
    </row>
    <row r="53" spans="1:10" x14ac:dyDescent="0.2">
      <c r="A53" s="10">
        <v>45944</v>
      </c>
      <c r="B53" s="11">
        <v>2314</v>
      </c>
      <c r="C53">
        <v>25585.3</v>
      </c>
      <c r="D53" s="23">
        <f t="shared" si="0"/>
        <v>-1.237729406743493E-2</v>
      </c>
      <c r="E53" s="23">
        <f t="shared" si="1"/>
        <v>1.0336228530360092E-2</v>
      </c>
      <c r="H53" s="16"/>
      <c r="I53" s="16"/>
      <c r="J53" s="15"/>
    </row>
    <row r="54" spans="1:10" x14ac:dyDescent="0.2">
      <c r="A54" s="10">
        <v>45945</v>
      </c>
      <c r="B54" s="11">
        <v>2377</v>
      </c>
      <c r="C54">
        <v>25709.85</v>
      </c>
      <c r="D54" s="23">
        <f t="shared" si="0"/>
        <v>2.7225583405358744E-2</v>
      </c>
      <c r="E54" s="23">
        <f t="shared" si="1"/>
        <v>4.8680296889229702E-3</v>
      </c>
      <c r="H54" s="16"/>
      <c r="I54" s="16"/>
      <c r="J54" s="15"/>
    </row>
    <row r="55" spans="1:10" x14ac:dyDescent="0.2">
      <c r="A55" s="10">
        <v>45946</v>
      </c>
      <c r="B55" s="11">
        <v>2409.3000000000002</v>
      </c>
      <c r="C55">
        <v>25843.15</v>
      </c>
      <c r="D55" s="23">
        <f t="shared" si="0"/>
        <v>1.3588557004627688E-2</v>
      </c>
      <c r="E55" s="23">
        <f t="shared" si="1"/>
        <v>5.1847832640019575E-3</v>
      </c>
      <c r="H55" s="16"/>
      <c r="I55" s="16"/>
      <c r="J55" s="15"/>
    </row>
    <row r="56" spans="1:10" x14ac:dyDescent="0.2">
      <c r="A56" s="10">
        <v>45947</v>
      </c>
      <c r="B56" s="11">
        <v>2507.8000000000002</v>
      </c>
      <c r="C56">
        <v>25868.6</v>
      </c>
      <c r="D56" s="23">
        <f t="shared" si="0"/>
        <v>4.0883244095795357E-2</v>
      </c>
      <c r="E56" s="23">
        <f t="shared" si="1"/>
        <v>9.8478707123539344E-4</v>
      </c>
      <c r="H56" s="16"/>
      <c r="I56" s="16"/>
      <c r="J56" s="15"/>
    </row>
    <row r="57" spans="1:10" x14ac:dyDescent="0.2">
      <c r="A57" s="10">
        <v>45950</v>
      </c>
      <c r="B57" s="11">
        <v>2516</v>
      </c>
      <c r="C57">
        <v>25891.4</v>
      </c>
      <c r="D57" s="23">
        <f t="shared" si="0"/>
        <v>3.2697982295237793E-3</v>
      </c>
      <c r="E57" s="23">
        <f t="shared" si="1"/>
        <v>8.8137742282157205E-4</v>
      </c>
      <c r="H57" s="16"/>
      <c r="I57" s="16"/>
      <c r="J57" s="15"/>
    </row>
    <row r="58" spans="1:10" x14ac:dyDescent="0.2">
      <c r="A58" s="10">
        <v>45951</v>
      </c>
      <c r="B58" s="11">
        <v>2500</v>
      </c>
      <c r="C58">
        <v>25795.15</v>
      </c>
      <c r="D58" s="23">
        <f t="shared" si="0"/>
        <v>-6.3593004769475492E-3</v>
      </c>
      <c r="E58" s="23">
        <f t="shared" si="1"/>
        <v>-3.7174505820465331E-3</v>
      </c>
      <c r="H58" s="16"/>
      <c r="I58" s="16"/>
      <c r="J58" s="15"/>
    </row>
    <row r="59" spans="1:10" x14ac:dyDescent="0.2">
      <c r="A59" s="10">
        <v>45953</v>
      </c>
      <c r="B59" s="11">
        <v>2499.6999999999998</v>
      </c>
      <c r="C59">
        <v>25966.05</v>
      </c>
      <c r="D59" s="23">
        <f t="shared" si="0"/>
        <v>-1.2000000000012001E-4</v>
      </c>
      <c r="E59" s="23">
        <f t="shared" si="1"/>
        <v>6.6252764570082778E-3</v>
      </c>
      <c r="H59" s="16"/>
      <c r="I59" s="16"/>
      <c r="J59" s="15"/>
    </row>
    <row r="60" spans="1:10" x14ac:dyDescent="0.2">
      <c r="A60" s="10">
        <v>45954</v>
      </c>
      <c r="B60" s="11">
        <v>2501.8000000000002</v>
      </c>
      <c r="C60">
        <v>25936.2</v>
      </c>
      <c r="D60" s="23">
        <f t="shared" si="0"/>
        <v>8.4010081209751064E-4</v>
      </c>
      <c r="E60" s="23">
        <f t="shared" si="1"/>
        <v>-1.1495780066663741E-3</v>
      </c>
      <c r="H60" s="16"/>
      <c r="I60" s="16"/>
      <c r="J60" s="15"/>
    </row>
    <row r="61" spans="1:10" x14ac:dyDescent="0.2">
      <c r="A61" s="10">
        <v>45957</v>
      </c>
      <c r="B61" s="11">
        <v>2514.6</v>
      </c>
      <c r="C61">
        <v>26053.9</v>
      </c>
      <c r="D61" s="23">
        <f t="shared" si="0"/>
        <v>5.1163162522982475E-3</v>
      </c>
      <c r="E61" s="23">
        <f t="shared" si="1"/>
        <v>4.5380587749941359E-3</v>
      </c>
      <c r="H61" s="16"/>
      <c r="I61" s="16"/>
      <c r="J61" s="15"/>
    </row>
    <row r="62" spans="1:10" x14ac:dyDescent="0.2">
      <c r="A62" s="10">
        <v>45958</v>
      </c>
      <c r="B62" s="11">
        <v>2501.1999999999998</v>
      </c>
      <c r="C62">
        <v>25877.85</v>
      </c>
      <c r="D62" s="23">
        <f t="shared" si="0"/>
        <v>-5.3288793446274463E-3</v>
      </c>
      <c r="E62" s="23">
        <f t="shared" si="1"/>
        <v>-6.7571457632064069E-3</v>
      </c>
      <c r="H62" s="16"/>
      <c r="I62" s="16"/>
      <c r="J62" s="15"/>
    </row>
    <row r="63" spans="1:10" x14ac:dyDescent="0.2">
      <c r="A63" s="10">
        <v>45959</v>
      </c>
      <c r="B63" s="11">
        <v>2539.4</v>
      </c>
      <c r="C63">
        <v>25722.1</v>
      </c>
      <c r="D63" s="23">
        <f t="shared" si="0"/>
        <v>1.5272669118822968E-2</v>
      </c>
      <c r="E63" s="23">
        <f t="shared" si="1"/>
        <v>-6.0186607465457787E-3</v>
      </c>
      <c r="H63" s="16"/>
      <c r="I63" s="16"/>
      <c r="J63" s="15"/>
    </row>
    <row r="64" spans="1:10" x14ac:dyDescent="0.2">
      <c r="A64" s="10">
        <v>45960</v>
      </c>
      <c r="B64" s="11">
        <v>2523</v>
      </c>
      <c r="C64">
        <v>25763.35</v>
      </c>
      <c r="D64" s="23">
        <f t="shared" si="0"/>
        <v>-6.4582184768056106E-3</v>
      </c>
      <c r="E64" s="23">
        <f t="shared" si="1"/>
        <v>1.6036793263380922E-3</v>
      </c>
      <c r="H64" s="16"/>
      <c r="I64" s="16"/>
      <c r="J64" s="15"/>
    </row>
    <row r="65" spans="1:10" x14ac:dyDescent="0.2">
      <c r="A65" s="10">
        <v>45961</v>
      </c>
      <c r="B65" s="11">
        <v>2508.1</v>
      </c>
      <c r="C65">
        <v>25597.65</v>
      </c>
      <c r="D65" s="23">
        <f t="shared" si="0"/>
        <v>-5.9056678557273257E-3</v>
      </c>
      <c r="E65" s="23">
        <f t="shared" si="1"/>
        <v>-6.4316170063286604E-3</v>
      </c>
      <c r="H65" s="16"/>
      <c r="I65" s="16"/>
      <c r="J65" s="15"/>
    </row>
    <row r="66" spans="1:10" x14ac:dyDescent="0.2">
      <c r="A66" s="10">
        <v>45964</v>
      </c>
      <c r="B66" s="11">
        <v>2512</v>
      </c>
      <c r="C66">
        <v>25509.7</v>
      </c>
      <c r="D66" s="23">
        <f t="shared" si="0"/>
        <v>1.5549619233683476E-3</v>
      </c>
      <c r="E66" s="23">
        <f t="shared" si="1"/>
        <v>-3.4358622764198987E-3</v>
      </c>
      <c r="H66" s="16"/>
      <c r="I66" s="16"/>
      <c r="J66" s="15"/>
    </row>
    <row r="67" spans="1:10" x14ac:dyDescent="0.2">
      <c r="A67" s="10">
        <v>45965</v>
      </c>
      <c r="B67" s="11">
        <v>2492</v>
      </c>
      <c r="C67">
        <v>25492.3</v>
      </c>
      <c r="D67" s="23">
        <f t="shared" si="0"/>
        <v>-7.9617834394904996E-3</v>
      </c>
      <c r="E67" s="23">
        <f t="shared" si="1"/>
        <v>-6.8209347816716726E-4</v>
      </c>
      <c r="H67" s="16"/>
      <c r="I67" s="16"/>
      <c r="J67" s="15"/>
    </row>
    <row r="68" spans="1:10" x14ac:dyDescent="0.2">
      <c r="A68" s="10">
        <v>45967</v>
      </c>
      <c r="B68" s="11">
        <v>2602.1</v>
      </c>
      <c r="C68">
        <v>25574.35</v>
      </c>
      <c r="D68" s="23">
        <f t="shared" ref="D68:D131" si="2">B68/B67-1</f>
        <v>4.4181380417335436E-2</v>
      </c>
      <c r="E68" s="23">
        <f t="shared" ref="E68:E131" si="3">C68/C67-1</f>
        <v>3.2186189555276634E-3</v>
      </c>
      <c r="H68" s="16"/>
      <c r="I68" s="16"/>
      <c r="J68" s="15"/>
    </row>
    <row r="69" spans="1:10" x14ac:dyDescent="0.2">
      <c r="A69" s="10">
        <v>45968</v>
      </c>
      <c r="B69" s="11">
        <v>2612</v>
      </c>
      <c r="C69">
        <v>25694.95</v>
      </c>
      <c r="D69" s="23">
        <f t="shared" si="2"/>
        <v>3.8046193459129185E-3</v>
      </c>
      <c r="E69" s="23">
        <f t="shared" si="3"/>
        <v>4.7156623726507529E-3</v>
      </c>
      <c r="H69" s="16"/>
      <c r="I69" s="16"/>
      <c r="J69" s="15"/>
    </row>
    <row r="70" spans="1:10" x14ac:dyDescent="0.2">
      <c r="A70" s="10">
        <v>45971</v>
      </c>
      <c r="B70" s="11">
        <v>2651.9</v>
      </c>
      <c r="C70">
        <v>25875.8</v>
      </c>
      <c r="D70" s="23">
        <f t="shared" si="2"/>
        <v>1.5275650842266453E-2</v>
      </c>
      <c r="E70" s="23">
        <f t="shared" si="3"/>
        <v>7.0383480022337963E-3</v>
      </c>
      <c r="H70" s="16"/>
      <c r="I70" s="16"/>
      <c r="J70" s="15"/>
    </row>
    <row r="71" spans="1:10" x14ac:dyDescent="0.2">
      <c r="A71" s="10">
        <v>45972</v>
      </c>
      <c r="B71" s="11">
        <v>2660</v>
      </c>
      <c r="C71">
        <v>25879.15</v>
      </c>
      <c r="D71" s="23">
        <f t="shared" si="2"/>
        <v>3.0544138165089496E-3</v>
      </c>
      <c r="E71" s="23">
        <f t="shared" si="3"/>
        <v>1.2946459626372864E-4</v>
      </c>
      <c r="H71" s="16"/>
      <c r="I71" s="16"/>
      <c r="J71" s="15"/>
    </row>
    <row r="72" spans="1:10" x14ac:dyDescent="0.2">
      <c r="A72" s="10">
        <v>45973</v>
      </c>
      <c r="B72" s="11">
        <v>2832</v>
      </c>
      <c r="C72">
        <v>25910.05</v>
      </c>
      <c r="D72" s="23">
        <f t="shared" si="2"/>
        <v>6.466165413533842E-2</v>
      </c>
      <c r="E72" s="23">
        <f t="shared" si="3"/>
        <v>1.194011395273753E-3</v>
      </c>
      <c r="H72" s="16"/>
      <c r="I72" s="16"/>
      <c r="J72" s="15"/>
    </row>
    <row r="73" spans="1:10" x14ac:dyDescent="0.2">
      <c r="A73" s="10">
        <v>45974</v>
      </c>
      <c r="B73" s="11">
        <v>2874.3</v>
      </c>
      <c r="C73">
        <v>26013.45</v>
      </c>
      <c r="D73" s="23">
        <f t="shared" si="2"/>
        <v>1.4936440677966178E-2</v>
      </c>
      <c r="E73" s="23">
        <f t="shared" si="3"/>
        <v>3.9907294659795589E-3</v>
      </c>
      <c r="H73" s="16"/>
      <c r="I73" s="16"/>
      <c r="J73" s="15"/>
    </row>
    <row r="74" spans="1:10" x14ac:dyDescent="0.2">
      <c r="A74" s="10">
        <v>45975</v>
      </c>
      <c r="B74" s="11">
        <v>2902</v>
      </c>
      <c r="C74">
        <v>25910.05</v>
      </c>
      <c r="D74" s="23">
        <f t="shared" si="2"/>
        <v>9.6371290401140453E-3</v>
      </c>
      <c r="E74" s="23">
        <f t="shared" si="3"/>
        <v>-3.9748668477268545E-3</v>
      </c>
      <c r="H74" s="16"/>
      <c r="I74" s="16"/>
      <c r="J74" s="15"/>
    </row>
    <row r="75" spans="1:10" x14ac:dyDescent="0.2">
      <c r="A75" s="10">
        <v>45978</v>
      </c>
      <c r="B75" s="11">
        <v>2885.4</v>
      </c>
      <c r="C75">
        <v>26052.65</v>
      </c>
      <c r="D75" s="23">
        <f t="shared" si="2"/>
        <v>-5.7201929703651899E-3</v>
      </c>
      <c r="E75" s="23">
        <f t="shared" si="3"/>
        <v>5.5036559172985111E-3</v>
      </c>
      <c r="H75" s="16"/>
      <c r="I75" s="16"/>
      <c r="J75" s="15"/>
    </row>
    <row r="76" spans="1:10" x14ac:dyDescent="0.2">
      <c r="A76" s="10">
        <v>45979</v>
      </c>
      <c r="B76" s="11">
        <v>2902.2</v>
      </c>
      <c r="C76">
        <v>26192.15</v>
      </c>
      <c r="D76" s="23">
        <f t="shared" si="2"/>
        <v>5.8224163027655873E-3</v>
      </c>
      <c r="E76" s="23">
        <f t="shared" si="3"/>
        <v>5.3545416685059077E-3</v>
      </c>
      <c r="H76" s="16"/>
      <c r="I76" s="16"/>
      <c r="J76" s="15"/>
    </row>
    <row r="77" spans="1:10" x14ac:dyDescent="0.2">
      <c r="A77" s="10">
        <v>45980</v>
      </c>
      <c r="B77" s="11">
        <v>2892</v>
      </c>
      <c r="C77">
        <v>26068.15</v>
      </c>
      <c r="D77" s="23">
        <f t="shared" si="2"/>
        <v>-3.5145751498861788E-3</v>
      </c>
      <c r="E77" s="23">
        <f t="shared" si="3"/>
        <v>-4.7342428933859759E-3</v>
      </c>
      <c r="H77" s="16"/>
      <c r="I77" s="16"/>
      <c r="J77" s="15"/>
    </row>
    <row r="78" spans="1:10" x14ac:dyDescent="0.2">
      <c r="A78" s="10">
        <v>45981</v>
      </c>
      <c r="B78" s="11">
        <v>2860</v>
      </c>
      <c r="C78">
        <v>25959.5</v>
      </c>
      <c r="D78" s="23">
        <f t="shared" si="2"/>
        <v>-1.1065006915629283E-2</v>
      </c>
      <c r="E78" s="23">
        <f t="shared" si="3"/>
        <v>-4.1679213906625767E-3</v>
      </c>
      <c r="H78" s="16"/>
      <c r="I78" s="16"/>
      <c r="J78" s="15"/>
    </row>
    <row r="79" spans="1:10" x14ac:dyDescent="0.2">
      <c r="A79" s="10">
        <v>45982</v>
      </c>
      <c r="B79" s="11">
        <v>2876</v>
      </c>
      <c r="C79">
        <v>25884.799999999999</v>
      </c>
      <c r="D79" s="23">
        <f t="shared" si="2"/>
        <v>5.5944055944054938E-3</v>
      </c>
      <c r="E79" s="23">
        <f t="shared" si="3"/>
        <v>-2.8775592750245327E-3</v>
      </c>
      <c r="H79" s="16"/>
      <c r="I79" s="16"/>
      <c r="J79" s="15"/>
    </row>
    <row r="80" spans="1:10" x14ac:dyDescent="0.2">
      <c r="A80" s="10">
        <v>45985</v>
      </c>
      <c r="B80" s="11">
        <v>2888</v>
      </c>
      <c r="C80">
        <v>26205.3</v>
      </c>
      <c r="D80" s="23">
        <f t="shared" si="2"/>
        <v>4.1724617524339092E-3</v>
      </c>
      <c r="E80" s="23">
        <f t="shared" si="3"/>
        <v>1.238178390406719E-2</v>
      </c>
      <c r="H80" s="16"/>
      <c r="I80" s="16"/>
      <c r="J80" s="15"/>
    </row>
    <row r="81" spans="1:10" x14ac:dyDescent="0.2">
      <c r="A81" s="10">
        <v>45986</v>
      </c>
      <c r="B81" s="11">
        <v>2878</v>
      </c>
      <c r="C81">
        <v>26215.55</v>
      </c>
      <c r="D81" s="23">
        <f t="shared" si="2"/>
        <v>-3.4626038781163659E-3</v>
      </c>
      <c r="E81" s="23">
        <f t="shared" si="3"/>
        <v>3.9114224985015156E-4</v>
      </c>
      <c r="H81" s="16"/>
      <c r="I81" s="16"/>
      <c r="J81" s="15"/>
    </row>
    <row r="82" spans="1:10" x14ac:dyDescent="0.2">
      <c r="A82" s="10">
        <v>45987</v>
      </c>
      <c r="B82" s="11">
        <v>2872</v>
      </c>
      <c r="C82">
        <v>26202.95</v>
      </c>
      <c r="D82" s="23">
        <f t="shared" si="2"/>
        <v>-2.0847810979847115E-3</v>
      </c>
      <c r="E82" s="23">
        <f t="shared" si="3"/>
        <v>-4.806307706685109E-4</v>
      </c>
      <c r="H82" s="16"/>
      <c r="I82" s="16"/>
      <c r="J82" s="15"/>
    </row>
    <row r="83" spans="1:10" x14ac:dyDescent="0.2">
      <c r="A83" s="10">
        <v>45988</v>
      </c>
      <c r="B83" s="11">
        <v>2875.7</v>
      </c>
      <c r="C83">
        <v>26175.75</v>
      </c>
      <c r="D83" s="23">
        <f t="shared" si="2"/>
        <v>1.2883008356545655E-3</v>
      </c>
      <c r="E83" s="23">
        <f t="shared" si="3"/>
        <v>-1.0380510591364578E-3</v>
      </c>
      <c r="H83" s="16"/>
      <c r="I83" s="16"/>
      <c r="J83" s="15"/>
    </row>
    <row r="84" spans="1:10" x14ac:dyDescent="0.2">
      <c r="A84" s="10">
        <v>45989</v>
      </c>
      <c r="B84" s="11">
        <v>2872.6</v>
      </c>
      <c r="C84">
        <v>26032.2</v>
      </c>
      <c r="D84" s="23">
        <f t="shared" si="2"/>
        <v>-1.0779984003894683E-3</v>
      </c>
      <c r="E84" s="23">
        <f t="shared" si="3"/>
        <v>-5.4840835506145824E-3</v>
      </c>
      <c r="H84" s="16"/>
      <c r="I84" s="16"/>
      <c r="J84" s="15"/>
    </row>
    <row r="85" spans="1:10" x14ac:dyDescent="0.2">
      <c r="A85" s="10">
        <v>45992</v>
      </c>
      <c r="B85" s="11">
        <v>2864</v>
      </c>
      <c r="C85">
        <v>25986</v>
      </c>
      <c r="D85" s="23">
        <f t="shared" si="2"/>
        <v>-2.9938035229408744E-3</v>
      </c>
      <c r="E85" s="23">
        <f t="shared" si="3"/>
        <v>-1.7747251480858539E-3</v>
      </c>
      <c r="H85" s="16"/>
      <c r="I85" s="16"/>
      <c r="J85" s="15"/>
    </row>
    <row r="86" spans="1:10" x14ac:dyDescent="0.2">
      <c r="A86" s="10">
        <v>45993</v>
      </c>
      <c r="B86" s="11">
        <v>2958</v>
      </c>
      <c r="C86">
        <v>26033.75</v>
      </c>
      <c r="D86" s="23">
        <f t="shared" si="2"/>
        <v>3.2821229050279399E-2</v>
      </c>
      <c r="E86" s="23">
        <f t="shared" si="3"/>
        <v>1.8375278996383138E-3</v>
      </c>
      <c r="H86" s="16"/>
      <c r="I86" s="16"/>
      <c r="J86" s="15"/>
    </row>
    <row r="87" spans="1:10" x14ac:dyDescent="0.2">
      <c r="A87" s="10">
        <v>45994</v>
      </c>
      <c r="B87" s="11">
        <v>2950</v>
      </c>
      <c r="C87">
        <v>26186.45</v>
      </c>
      <c r="D87" s="23">
        <f t="shared" si="2"/>
        <v>-2.7045300878972833E-3</v>
      </c>
      <c r="E87" s="23">
        <f t="shared" si="3"/>
        <v>5.8654631007826197E-3</v>
      </c>
      <c r="H87" s="16"/>
      <c r="I87" s="16"/>
      <c r="J87" s="15"/>
    </row>
    <row r="88" spans="1:10" x14ac:dyDescent="0.2">
      <c r="A88" s="10">
        <v>45995</v>
      </c>
      <c r="B88" s="11">
        <v>2955</v>
      </c>
      <c r="C88">
        <v>25960.55</v>
      </c>
      <c r="D88" s="23">
        <f t="shared" si="2"/>
        <v>1.6949152542373724E-3</v>
      </c>
      <c r="E88" s="23">
        <f t="shared" si="3"/>
        <v>-8.626598870790092E-3</v>
      </c>
      <c r="H88" s="16"/>
      <c r="I88" s="16"/>
      <c r="J88" s="15"/>
    </row>
    <row r="89" spans="1:10" x14ac:dyDescent="0.2">
      <c r="A89" s="10">
        <v>45996</v>
      </c>
      <c r="B89" s="11">
        <v>2961.6</v>
      </c>
      <c r="C89">
        <v>25839.65</v>
      </c>
      <c r="D89" s="23">
        <f t="shared" si="2"/>
        <v>2.233502538071086E-3</v>
      </c>
      <c r="E89" s="23">
        <f t="shared" si="3"/>
        <v>-4.6570662023723841E-3</v>
      </c>
      <c r="H89" s="16"/>
      <c r="I89" s="16"/>
      <c r="J89" s="15"/>
    </row>
    <row r="90" spans="1:10" x14ac:dyDescent="0.2">
      <c r="A90" s="10">
        <v>45999</v>
      </c>
      <c r="B90" s="11">
        <v>2924</v>
      </c>
      <c r="C90">
        <v>25758</v>
      </c>
      <c r="D90" s="23">
        <f t="shared" si="2"/>
        <v>-1.2695840086439758E-2</v>
      </c>
      <c r="E90" s="23">
        <f t="shared" si="3"/>
        <v>-3.15987252149319E-3</v>
      </c>
      <c r="H90" s="16"/>
      <c r="I90" s="16"/>
      <c r="J90" s="15"/>
    </row>
    <row r="91" spans="1:10" x14ac:dyDescent="0.2">
      <c r="A91" s="10">
        <v>46000</v>
      </c>
      <c r="B91" s="11">
        <v>2793.7</v>
      </c>
      <c r="C91">
        <v>25898.55</v>
      </c>
      <c r="D91" s="23">
        <f t="shared" si="2"/>
        <v>-4.4562243502052068E-2</v>
      </c>
      <c r="E91" s="23">
        <f t="shared" si="3"/>
        <v>5.4565571861169282E-3</v>
      </c>
      <c r="H91" s="16"/>
      <c r="I91" s="16"/>
      <c r="J91" s="15"/>
    </row>
    <row r="92" spans="1:10" x14ac:dyDescent="0.2">
      <c r="A92" s="10">
        <v>46001</v>
      </c>
      <c r="B92" s="11">
        <v>2801.3</v>
      </c>
      <c r="C92">
        <v>26046.95</v>
      </c>
      <c r="D92" s="23">
        <f t="shared" si="2"/>
        <v>2.7204066292014772E-3</v>
      </c>
      <c r="E92" s="23">
        <f t="shared" si="3"/>
        <v>5.7300505240640565E-3</v>
      </c>
      <c r="H92" s="16"/>
      <c r="I92" s="16"/>
      <c r="J92" s="15"/>
    </row>
    <row r="93" spans="1:10" x14ac:dyDescent="0.2">
      <c r="A93" s="10">
        <v>46002</v>
      </c>
      <c r="B93" s="11">
        <v>2776.5</v>
      </c>
      <c r="C93">
        <v>26027.3</v>
      </c>
      <c r="D93" s="23">
        <f t="shared" si="2"/>
        <v>-8.8530325206155336E-3</v>
      </c>
      <c r="E93" s="23">
        <f t="shared" si="3"/>
        <v>-7.5440694591888402E-4</v>
      </c>
      <c r="H93" s="16"/>
      <c r="I93" s="16"/>
      <c r="J93" s="15"/>
    </row>
    <row r="94" spans="1:10" x14ac:dyDescent="0.2">
      <c r="A94" s="10">
        <v>46003</v>
      </c>
      <c r="B94" s="11">
        <v>2765</v>
      </c>
      <c r="C94">
        <v>25860.1</v>
      </c>
      <c r="D94" s="23">
        <f t="shared" si="2"/>
        <v>-4.1419052764271047E-3</v>
      </c>
      <c r="E94" s="23">
        <f t="shared" si="3"/>
        <v>-6.4240240055634112E-3</v>
      </c>
      <c r="H94" s="16"/>
      <c r="I94" s="16"/>
      <c r="J94" s="15"/>
    </row>
    <row r="95" spans="1:10" x14ac:dyDescent="0.2">
      <c r="A95" s="10">
        <v>46006</v>
      </c>
      <c r="B95" s="11">
        <v>2777.8</v>
      </c>
      <c r="C95">
        <v>25818.55</v>
      </c>
      <c r="D95" s="23">
        <f t="shared" si="2"/>
        <v>4.6292947558770337E-3</v>
      </c>
      <c r="E95" s="23">
        <f t="shared" si="3"/>
        <v>-1.6067223251263751E-3</v>
      </c>
      <c r="H95" s="16"/>
      <c r="I95" s="16"/>
      <c r="J95" s="15"/>
    </row>
    <row r="96" spans="1:10" x14ac:dyDescent="0.2">
      <c r="A96" s="10">
        <v>46007</v>
      </c>
      <c r="B96" s="11">
        <v>2785</v>
      </c>
      <c r="C96">
        <v>25815.55</v>
      </c>
      <c r="D96" s="23">
        <f t="shared" si="2"/>
        <v>2.5919792641657668E-3</v>
      </c>
      <c r="E96" s="23">
        <f t="shared" si="3"/>
        <v>-1.1619552608488348E-4</v>
      </c>
      <c r="H96" s="16"/>
      <c r="I96" s="16"/>
      <c r="J96" s="15"/>
    </row>
    <row r="97" spans="1:10" x14ac:dyDescent="0.2">
      <c r="A97" s="10">
        <v>46008</v>
      </c>
      <c r="B97" s="11">
        <v>2785.8</v>
      </c>
      <c r="C97">
        <v>25966.400000000001</v>
      </c>
      <c r="D97" s="23">
        <f t="shared" si="2"/>
        <v>2.8725314183120076E-4</v>
      </c>
      <c r="E97" s="23">
        <f t="shared" si="3"/>
        <v>5.8433773442752024E-3</v>
      </c>
      <c r="H97" s="16"/>
      <c r="I97" s="16"/>
      <c r="J97" s="15"/>
    </row>
    <row r="98" spans="1:10" x14ac:dyDescent="0.2">
      <c r="A98" s="10">
        <v>46009</v>
      </c>
      <c r="B98" s="11">
        <v>2758.4</v>
      </c>
      <c r="C98">
        <v>26172.400000000001</v>
      </c>
      <c r="D98" s="23">
        <f t="shared" si="2"/>
        <v>-9.8355948022113004E-3</v>
      </c>
      <c r="E98" s="23">
        <f t="shared" si="3"/>
        <v>7.9333292254606391E-3</v>
      </c>
      <c r="H98" s="16"/>
      <c r="I98" s="16"/>
      <c r="J98" s="15"/>
    </row>
    <row r="99" spans="1:10" x14ac:dyDescent="0.2">
      <c r="A99" s="10">
        <v>46010</v>
      </c>
      <c r="B99" s="11">
        <v>2788.3</v>
      </c>
      <c r="C99">
        <v>26177.15</v>
      </c>
      <c r="D99" s="23">
        <f t="shared" si="2"/>
        <v>1.083961716937365E-2</v>
      </c>
      <c r="E99" s="23">
        <f t="shared" si="3"/>
        <v>1.8148889670044355E-4</v>
      </c>
      <c r="H99" s="16"/>
      <c r="I99" s="16"/>
      <c r="J99" s="15"/>
    </row>
    <row r="100" spans="1:10" x14ac:dyDescent="0.2">
      <c r="A100" s="10">
        <v>46013</v>
      </c>
      <c r="B100" s="11">
        <v>2801.9</v>
      </c>
      <c r="C100">
        <v>26142.1</v>
      </c>
      <c r="D100" s="23">
        <f t="shared" si="2"/>
        <v>4.8775239393177294E-3</v>
      </c>
      <c r="E100" s="23">
        <f t="shared" si="3"/>
        <v>-1.3389540114184806E-3</v>
      </c>
      <c r="H100" s="16"/>
      <c r="I100" s="16"/>
      <c r="J100" s="15"/>
    </row>
    <row r="101" spans="1:10" x14ac:dyDescent="0.2">
      <c r="A101" s="10">
        <v>46014</v>
      </c>
      <c r="B101" s="11">
        <v>2808</v>
      </c>
      <c r="C101">
        <v>26042.3</v>
      </c>
      <c r="D101" s="23">
        <f t="shared" si="2"/>
        <v>2.1770941147079004E-3</v>
      </c>
      <c r="E101" s="23">
        <f t="shared" si="3"/>
        <v>-3.8175969030797008E-3</v>
      </c>
      <c r="H101" s="16"/>
      <c r="I101" s="16"/>
      <c r="J101" s="15"/>
    </row>
    <row r="102" spans="1:10" x14ac:dyDescent="0.2">
      <c r="A102" s="10">
        <v>46015</v>
      </c>
      <c r="B102" s="11">
        <v>2786</v>
      </c>
      <c r="C102">
        <v>25942.1</v>
      </c>
      <c r="D102" s="23">
        <f t="shared" si="2"/>
        <v>-7.8347578347578439E-3</v>
      </c>
      <c r="E102" s="23">
        <f t="shared" si="3"/>
        <v>-3.8475864266981352E-3</v>
      </c>
      <c r="H102" s="16"/>
      <c r="I102" s="16"/>
      <c r="J102" s="15"/>
    </row>
    <row r="103" spans="1:10" x14ac:dyDescent="0.2">
      <c r="A103" s="10">
        <v>46017</v>
      </c>
      <c r="B103" s="11">
        <v>2746.6</v>
      </c>
      <c r="C103">
        <v>25938.85</v>
      </c>
      <c r="D103" s="23">
        <f t="shared" si="2"/>
        <v>-1.4142139267767417E-2</v>
      </c>
      <c r="E103" s="23">
        <f t="shared" si="3"/>
        <v>-1.2527898666647719E-4</v>
      </c>
      <c r="H103" s="16"/>
      <c r="I103" s="16"/>
      <c r="J103" s="15"/>
    </row>
    <row r="104" spans="1:10" x14ac:dyDescent="0.2">
      <c r="A104" s="10">
        <v>46020</v>
      </c>
      <c r="B104" s="11">
        <v>2775</v>
      </c>
      <c r="C104">
        <v>26129.599999999999</v>
      </c>
      <c r="D104" s="23">
        <f t="shared" si="2"/>
        <v>1.0340056797495167E-2</v>
      </c>
      <c r="E104" s="23">
        <f t="shared" si="3"/>
        <v>7.3538341136942798E-3</v>
      </c>
      <c r="H104" s="16"/>
      <c r="I104" s="16"/>
      <c r="J104" s="15"/>
    </row>
    <row r="105" spans="1:10" x14ac:dyDescent="0.2">
      <c r="A105" s="10">
        <v>46021</v>
      </c>
      <c r="B105" s="11">
        <v>2753.5</v>
      </c>
      <c r="C105">
        <v>26146.55</v>
      </c>
      <c r="D105" s="23">
        <f t="shared" si="2"/>
        <v>-7.7477477477477796E-3</v>
      </c>
      <c r="E105" s="23">
        <f t="shared" si="3"/>
        <v>6.4868960871966586E-4</v>
      </c>
      <c r="H105" s="16"/>
      <c r="I105" s="16"/>
      <c r="J105" s="15"/>
    </row>
    <row r="106" spans="1:10" x14ac:dyDescent="0.2">
      <c r="A106" s="10">
        <v>46022</v>
      </c>
      <c r="B106" s="11">
        <v>2770.2</v>
      </c>
      <c r="C106">
        <v>26328.55</v>
      </c>
      <c r="D106" s="23">
        <f t="shared" si="2"/>
        <v>6.0650081714181958E-3</v>
      </c>
      <c r="E106" s="23">
        <f t="shared" si="3"/>
        <v>6.9607653782239876E-3</v>
      </c>
      <c r="H106" s="16"/>
      <c r="I106" s="16"/>
      <c r="J106" s="15"/>
    </row>
    <row r="107" spans="1:10" x14ac:dyDescent="0.2">
      <c r="A107" s="10">
        <v>46023</v>
      </c>
      <c r="B107" s="11">
        <v>2756</v>
      </c>
      <c r="C107">
        <v>26250.3</v>
      </c>
      <c r="D107" s="23">
        <f t="shared" si="2"/>
        <v>-5.1259836834884887E-3</v>
      </c>
      <c r="E107" s="23">
        <f t="shared" si="3"/>
        <v>-2.9720588486642496E-3</v>
      </c>
      <c r="H107" s="16"/>
      <c r="I107" s="16"/>
      <c r="J107" s="15"/>
    </row>
    <row r="108" spans="1:10" x14ac:dyDescent="0.2">
      <c r="A108" s="10">
        <v>46024</v>
      </c>
      <c r="B108" s="11">
        <v>2771.6</v>
      </c>
      <c r="C108">
        <v>26178.7</v>
      </c>
      <c r="D108" s="23">
        <f t="shared" si="2"/>
        <v>5.6603773584904538E-3</v>
      </c>
      <c r="E108" s="23">
        <f t="shared" si="3"/>
        <v>-2.7275878751861216E-3</v>
      </c>
      <c r="H108" s="16"/>
      <c r="I108" s="16"/>
      <c r="J108" s="15"/>
    </row>
    <row r="109" spans="1:10" x14ac:dyDescent="0.2">
      <c r="A109" s="10">
        <v>46027</v>
      </c>
      <c r="B109" s="11">
        <v>2814</v>
      </c>
      <c r="C109">
        <v>26140.75</v>
      </c>
      <c r="D109" s="23">
        <f t="shared" si="2"/>
        <v>1.5298022802713307E-2</v>
      </c>
      <c r="E109" s="23">
        <f t="shared" si="3"/>
        <v>-1.4496518161711824E-3</v>
      </c>
      <c r="H109" s="16"/>
      <c r="I109" s="16"/>
      <c r="J109" s="15"/>
    </row>
    <row r="110" spans="1:10" x14ac:dyDescent="0.2">
      <c r="A110" s="10">
        <v>46028</v>
      </c>
      <c r="B110" s="11">
        <v>2847.4</v>
      </c>
      <c r="C110">
        <v>25876.85</v>
      </c>
      <c r="D110" s="23">
        <f t="shared" si="2"/>
        <v>1.1869225302061137E-2</v>
      </c>
      <c r="E110" s="23">
        <f t="shared" si="3"/>
        <v>-1.0095349215305638E-2</v>
      </c>
      <c r="H110" s="16"/>
      <c r="I110" s="16"/>
      <c r="J110" s="15"/>
    </row>
    <row r="111" spans="1:10" x14ac:dyDescent="0.2">
      <c r="A111" s="10">
        <v>46029</v>
      </c>
      <c r="B111" s="11">
        <v>2806</v>
      </c>
      <c r="C111">
        <v>25683.3</v>
      </c>
      <c r="D111" s="23">
        <f t="shared" si="2"/>
        <v>-1.4539579967689842E-2</v>
      </c>
      <c r="E111" s="23">
        <f t="shared" si="3"/>
        <v>-7.4796584592019544E-3</v>
      </c>
      <c r="H111" s="16"/>
      <c r="I111" s="16"/>
      <c r="J111" s="15"/>
    </row>
    <row r="112" spans="1:10" x14ac:dyDescent="0.2">
      <c r="A112" s="10">
        <v>46030</v>
      </c>
      <c r="B112" s="11">
        <v>2788</v>
      </c>
      <c r="C112">
        <v>25790.25</v>
      </c>
      <c r="D112" s="23">
        <f t="shared" si="2"/>
        <v>-6.4148253741981298E-3</v>
      </c>
      <c r="E112" s="23">
        <f t="shared" si="3"/>
        <v>4.164184509000135E-3</v>
      </c>
      <c r="H112" s="16"/>
      <c r="I112" s="16"/>
      <c r="J112" s="15"/>
    </row>
    <row r="113" spans="1:10" x14ac:dyDescent="0.2">
      <c r="A113" s="10">
        <v>46031</v>
      </c>
      <c r="B113" s="11">
        <v>2838.9</v>
      </c>
      <c r="C113">
        <v>25732.3</v>
      </c>
      <c r="D113" s="23">
        <f t="shared" si="2"/>
        <v>1.8256814921090436E-2</v>
      </c>
      <c r="E113" s="23">
        <f t="shared" si="3"/>
        <v>-2.2469731778482771E-3</v>
      </c>
      <c r="H113" s="16"/>
      <c r="I113" s="16"/>
      <c r="J113" s="15"/>
    </row>
    <row r="114" spans="1:10" x14ac:dyDescent="0.2">
      <c r="A114" s="10">
        <v>46034</v>
      </c>
      <c r="B114" s="11">
        <v>2896.2</v>
      </c>
      <c r="C114">
        <v>25665.599999999999</v>
      </c>
      <c r="D114" s="23">
        <f t="shared" si="2"/>
        <v>2.0183874035717864E-2</v>
      </c>
      <c r="E114" s="23">
        <f t="shared" si="3"/>
        <v>-2.5920729977498835E-3</v>
      </c>
      <c r="H114" s="16"/>
      <c r="I114" s="16"/>
      <c r="J114" s="15"/>
    </row>
    <row r="115" spans="1:10" x14ac:dyDescent="0.2">
      <c r="A115" s="10">
        <v>46035</v>
      </c>
      <c r="B115" s="11">
        <v>2880.2</v>
      </c>
      <c r="C115">
        <v>25694.35</v>
      </c>
      <c r="D115" s="23">
        <f t="shared" si="2"/>
        <v>-5.5244803535667852E-3</v>
      </c>
      <c r="E115" s="23">
        <f t="shared" si="3"/>
        <v>1.1201764229162858E-3</v>
      </c>
      <c r="H115" s="16"/>
      <c r="I115" s="16"/>
      <c r="J115" s="15"/>
    </row>
    <row r="116" spans="1:10" x14ac:dyDescent="0.2">
      <c r="A116" s="10">
        <v>46036</v>
      </c>
      <c r="B116" s="11">
        <v>2817</v>
      </c>
      <c r="C116">
        <v>25585.5</v>
      </c>
      <c r="D116" s="23">
        <f t="shared" si="2"/>
        <v>-2.1942920630511731E-2</v>
      </c>
      <c r="E116" s="23">
        <f t="shared" si="3"/>
        <v>-4.2363398957357967E-3</v>
      </c>
      <c r="H116" s="16"/>
      <c r="I116" s="16"/>
      <c r="J116" s="15"/>
    </row>
    <row r="117" spans="1:10" x14ac:dyDescent="0.2">
      <c r="A117" s="10">
        <v>46038</v>
      </c>
      <c r="B117" s="11">
        <v>2756.7</v>
      </c>
      <c r="C117">
        <v>25232.5</v>
      </c>
      <c r="D117" s="23">
        <f t="shared" si="2"/>
        <v>-2.140575079872209E-2</v>
      </c>
      <c r="E117" s="23">
        <f t="shared" si="3"/>
        <v>-1.3796877137441155E-2</v>
      </c>
      <c r="H117" s="16"/>
      <c r="I117" s="16"/>
      <c r="J117" s="15"/>
    </row>
    <row r="118" spans="1:10" x14ac:dyDescent="0.2">
      <c r="A118" s="10">
        <v>46041</v>
      </c>
      <c r="B118" s="11">
        <v>2736.8</v>
      </c>
      <c r="C118">
        <v>25157.5</v>
      </c>
      <c r="D118" s="23">
        <f t="shared" si="2"/>
        <v>-7.2187760728406047E-3</v>
      </c>
      <c r="E118" s="23">
        <f t="shared" si="3"/>
        <v>-2.9723570791637677E-3</v>
      </c>
      <c r="H118" s="16"/>
      <c r="I118" s="16"/>
      <c r="J118" s="15"/>
    </row>
    <row r="119" spans="1:10" x14ac:dyDescent="0.2">
      <c r="A119" s="10">
        <v>46042</v>
      </c>
      <c r="B119" s="11">
        <v>2680</v>
      </c>
      <c r="C119">
        <v>25289.9</v>
      </c>
      <c r="D119" s="23">
        <f t="shared" si="2"/>
        <v>-2.0754165448699236E-2</v>
      </c>
      <c r="E119" s="23">
        <f t="shared" si="3"/>
        <v>5.2628440822817257E-3</v>
      </c>
      <c r="H119" s="16"/>
      <c r="I119" s="16"/>
      <c r="J119" s="15"/>
    </row>
    <row r="120" spans="1:10" x14ac:dyDescent="0.2">
      <c r="A120" s="10">
        <v>46043</v>
      </c>
      <c r="B120" s="11">
        <v>2666</v>
      </c>
      <c r="C120">
        <v>25048.65</v>
      </c>
      <c r="D120" s="23">
        <f t="shared" si="2"/>
        <v>-5.2238805970149516E-3</v>
      </c>
      <c r="E120" s="23">
        <f t="shared" si="3"/>
        <v>-9.5393813340503009E-3</v>
      </c>
      <c r="H120" s="16"/>
      <c r="I120" s="16"/>
      <c r="J120" s="15"/>
    </row>
    <row r="121" spans="1:10" x14ac:dyDescent="0.2">
      <c r="A121" s="10">
        <v>46044</v>
      </c>
      <c r="B121" s="11">
        <v>2704.2</v>
      </c>
      <c r="C121">
        <v>25175.4</v>
      </c>
      <c r="D121" s="23">
        <f t="shared" si="2"/>
        <v>1.4328582145536339E-2</v>
      </c>
      <c r="E121" s="23">
        <f t="shared" si="3"/>
        <v>5.0601529423741631E-3</v>
      </c>
      <c r="H121" s="16"/>
      <c r="I121" s="16"/>
      <c r="J121" s="15"/>
    </row>
    <row r="122" spans="1:10" x14ac:dyDescent="0.2">
      <c r="A122" s="10">
        <v>46045</v>
      </c>
      <c r="B122" s="11">
        <v>2704.4</v>
      </c>
      <c r="C122">
        <v>25342.75</v>
      </c>
      <c r="D122" s="23">
        <f t="shared" si="2"/>
        <v>7.3959026699377262E-5</v>
      </c>
      <c r="E122" s="23">
        <f t="shared" si="3"/>
        <v>6.6473621074540912E-3</v>
      </c>
      <c r="H122" s="16"/>
      <c r="I122" s="16"/>
      <c r="J122" s="15"/>
    </row>
    <row r="123" spans="1:10" x14ac:dyDescent="0.2">
      <c r="A123" s="10">
        <v>46049</v>
      </c>
      <c r="B123" s="11">
        <v>2628</v>
      </c>
      <c r="C123">
        <v>25418.9</v>
      </c>
      <c r="D123" s="23">
        <f t="shared" si="2"/>
        <v>-2.8250258837450137E-2</v>
      </c>
      <c r="E123" s="23">
        <f t="shared" si="3"/>
        <v>3.004804135305017E-3</v>
      </c>
      <c r="H123" s="16"/>
      <c r="I123" s="16"/>
      <c r="J123" s="15"/>
    </row>
    <row r="124" spans="1:10" x14ac:dyDescent="0.2">
      <c r="A124" s="10">
        <v>46050</v>
      </c>
      <c r="B124" s="11">
        <v>2512</v>
      </c>
      <c r="C124">
        <v>25320.65</v>
      </c>
      <c r="D124" s="23">
        <f t="shared" si="2"/>
        <v>-4.4140030441400357E-2</v>
      </c>
      <c r="E124" s="23">
        <f t="shared" si="3"/>
        <v>-3.8652341368037302E-3</v>
      </c>
      <c r="H124" s="16"/>
      <c r="I124" s="16"/>
      <c r="J124" s="15"/>
    </row>
    <row r="125" spans="1:10" x14ac:dyDescent="0.2">
      <c r="A125" s="10">
        <v>46051</v>
      </c>
      <c r="B125" s="11">
        <v>2415</v>
      </c>
      <c r="C125">
        <v>24825.45</v>
      </c>
      <c r="D125" s="23">
        <f t="shared" si="2"/>
        <v>-3.8614649681528612E-2</v>
      </c>
      <c r="E125" s="23">
        <f t="shared" si="3"/>
        <v>-1.955715986753892E-2</v>
      </c>
      <c r="H125" s="16"/>
      <c r="I125" s="16"/>
      <c r="J125" s="15"/>
    </row>
    <row r="126" spans="1:10" x14ac:dyDescent="0.2">
      <c r="A126" s="10">
        <v>46052</v>
      </c>
      <c r="B126" s="11">
        <v>2431</v>
      </c>
      <c r="C126">
        <v>25088.400000000001</v>
      </c>
      <c r="D126" s="23">
        <f t="shared" si="2"/>
        <v>6.6252587991717515E-3</v>
      </c>
      <c r="E126" s="23">
        <f t="shared" si="3"/>
        <v>1.05919530159575E-2</v>
      </c>
      <c r="H126" s="16"/>
      <c r="I126" s="16"/>
      <c r="J126" s="15"/>
    </row>
    <row r="127" spans="1:10" x14ac:dyDescent="0.2">
      <c r="A127" s="10">
        <v>46054</v>
      </c>
      <c r="B127" s="11">
        <v>2357.6</v>
      </c>
      <c r="C127">
        <v>25727.55</v>
      </c>
      <c r="D127" s="23">
        <f t="shared" si="2"/>
        <v>-3.0193336075689081E-2</v>
      </c>
      <c r="E127" s="23">
        <f t="shared" si="3"/>
        <v>2.5475917156932981E-2</v>
      </c>
      <c r="H127" s="16"/>
      <c r="I127" s="16"/>
      <c r="J127" s="15"/>
    </row>
    <row r="128" spans="1:10" x14ac:dyDescent="0.2">
      <c r="A128" s="10">
        <v>46055</v>
      </c>
      <c r="B128" s="11">
        <v>2395</v>
      </c>
      <c r="C128">
        <v>25776</v>
      </c>
      <c r="D128" s="23">
        <f t="shared" si="2"/>
        <v>1.586359009161864E-2</v>
      </c>
      <c r="E128" s="23">
        <f t="shared" si="3"/>
        <v>1.8831952517825989E-3</v>
      </c>
      <c r="H128" s="16"/>
      <c r="I128" s="16"/>
      <c r="J128" s="15"/>
    </row>
    <row r="129" spans="1:10" x14ac:dyDescent="0.2">
      <c r="A129" s="10">
        <v>46056</v>
      </c>
      <c r="B129" s="11">
        <v>2424.1</v>
      </c>
      <c r="C129">
        <v>25642.799999999999</v>
      </c>
      <c r="D129" s="23">
        <f t="shared" si="2"/>
        <v>1.2150313152400782E-2</v>
      </c>
      <c r="E129" s="23">
        <f t="shared" si="3"/>
        <v>-5.16759776536313E-3</v>
      </c>
      <c r="H129" s="16"/>
      <c r="I129" s="16"/>
      <c r="J129" s="15"/>
    </row>
    <row r="130" spans="1:10" x14ac:dyDescent="0.2">
      <c r="A130" s="10">
        <v>46057</v>
      </c>
      <c r="B130" s="11">
        <v>2450</v>
      </c>
      <c r="C130">
        <v>25693.7</v>
      </c>
      <c r="D130" s="23">
        <f t="shared" si="2"/>
        <v>1.0684377707190329E-2</v>
      </c>
      <c r="E130" s="23">
        <f t="shared" si="3"/>
        <v>1.9849626405852305E-3</v>
      </c>
      <c r="H130" s="16"/>
      <c r="I130" s="16"/>
      <c r="J130" s="15"/>
    </row>
    <row r="131" spans="1:10" x14ac:dyDescent="0.2">
      <c r="A131" s="10">
        <v>46058</v>
      </c>
      <c r="B131" s="11">
        <v>2433.5</v>
      </c>
      <c r="C131">
        <v>25867.3</v>
      </c>
      <c r="D131" s="23">
        <f t="shared" si="2"/>
        <v>-6.7346938775509901E-3</v>
      </c>
      <c r="E131" s="23">
        <f t="shared" si="3"/>
        <v>6.7565200807979675E-3</v>
      </c>
      <c r="H131" s="16"/>
      <c r="I131" s="16"/>
      <c r="J131" s="15"/>
    </row>
    <row r="132" spans="1:10" x14ac:dyDescent="0.2">
      <c r="A132" s="10">
        <v>46059</v>
      </c>
      <c r="B132" s="11">
        <v>2405</v>
      </c>
      <c r="C132">
        <v>25935.15</v>
      </c>
      <c r="D132" s="23">
        <f t="shared" ref="D132:D195" si="4">B132/B131-1</f>
        <v>-1.1711526607766642E-2</v>
      </c>
      <c r="E132" s="23">
        <f t="shared" ref="E132:E195" si="5">C132/C131-1</f>
        <v>2.6230027873028749E-3</v>
      </c>
      <c r="H132" s="16"/>
      <c r="I132" s="16"/>
      <c r="J132" s="15"/>
    </row>
    <row r="133" spans="1:10" x14ac:dyDescent="0.2">
      <c r="A133" s="10">
        <v>46062</v>
      </c>
      <c r="B133" s="11">
        <v>2416.5</v>
      </c>
      <c r="C133">
        <v>25953.85</v>
      </c>
      <c r="D133" s="23">
        <f t="shared" si="4"/>
        <v>4.7817047817046987E-3</v>
      </c>
      <c r="E133" s="23">
        <f t="shared" si="5"/>
        <v>7.2102918240291025E-4</v>
      </c>
      <c r="H133" s="16"/>
      <c r="I133" s="16"/>
      <c r="J133" s="15"/>
    </row>
    <row r="134" spans="1:10" x14ac:dyDescent="0.2">
      <c r="A134" s="10">
        <v>46063</v>
      </c>
      <c r="B134" s="11">
        <v>2396.4</v>
      </c>
      <c r="C134">
        <v>25807.200000000001</v>
      </c>
      <c r="D134" s="23">
        <f t="shared" si="4"/>
        <v>-8.317815021725572E-3</v>
      </c>
      <c r="E134" s="23">
        <f t="shared" si="5"/>
        <v>-5.6504141004127817E-3</v>
      </c>
      <c r="H134" s="16"/>
      <c r="I134" s="16"/>
      <c r="J134" s="15"/>
    </row>
    <row r="135" spans="1:10" x14ac:dyDescent="0.2">
      <c r="A135" s="10">
        <v>46064</v>
      </c>
      <c r="B135" s="11">
        <v>2393</v>
      </c>
      <c r="C135">
        <v>25471.1</v>
      </c>
      <c r="D135" s="23">
        <f t="shared" si="4"/>
        <v>-1.4187948589551302E-3</v>
      </c>
      <c r="E135" s="23">
        <f t="shared" si="5"/>
        <v>-1.3023497318577881E-2</v>
      </c>
      <c r="H135" s="16"/>
      <c r="I135" s="16"/>
      <c r="J135" s="15"/>
    </row>
    <row r="136" spans="1:10" x14ac:dyDescent="0.2">
      <c r="A136" s="10">
        <v>46065</v>
      </c>
      <c r="B136" s="11">
        <v>2410.1</v>
      </c>
      <c r="C136">
        <v>25682.75</v>
      </c>
      <c r="D136" s="23">
        <f t="shared" si="4"/>
        <v>7.1458420392811473E-3</v>
      </c>
      <c r="E136" s="23">
        <f t="shared" si="5"/>
        <v>8.3094173396516258E-3</v>
      </c>
      <c r="H136" s="16"/>
      <c r="I136" s="16"/>
      <c r="J136" s="15"/>
    </row>
    <row r="137" spans="1:10" x14ac:dyDescent="0.2">
      <c r="A137" s="10">
        <v>46066</v>
      </c>
      <c r="B137" s="11">
        <v>2368.1999999999998</v>
      </c>
      <c r="C137">
        <v>25725.4</v>
      </c>
      <c r="D137" s="23">
        <f t="shared" si="4"/>
        <v>-1.7385170739803391E-2</v>
      </c>
      <c r="E137" s="23">
        <f t="shared" si="5"/>
        <v>1.6606477110123752E-3</v>
      </c>
      <c r="H137" s="16"/>
      <c r="I137" s="16"/>
      <c r="J137" s="15"/>
    </row>
    <row r="138" spans="1:10" x14ac:dyDescent="0.2">
      <c r="A138" s="10">
        <v>46069</v>
      </c>
      <c r="B138" s="11">
        <v>2400</v>
      </c>
      <c r="C138">
        <v>25819.35</v>
      </c>
      <c r="D138" s="23">
        <f t="shared" si="4"/>
        <v>1.3427919939194455E-2</v>
      </c>
      <c r="E138" s="23">
        <f t="shared" si="5"/>
        <v>3.6520326214557475E-3</v>
      </c>
      <c r="H138" s="16"/>
      <c r="I138" s="16"/>
      <c r="J138" s="15"/>
    </row>
    <row r="139" spans="1:10" x14ac:dyDescent="0.2">
      <c r="A139" s="10">
        <v>46070</v>
      </c>
      <c r="B139" s="11">
        <v>2439</v>
      </c>
      <c r="C139">
        <v>25454.35</v>
      </c>
      <c r="D139" s="23">
        <f t="shared" si="4"/>
        <v>1.6250000000000098E-2</v>
      </c>
      <c r="E139" s="23">
        <f t="shared" si="5"/>
        <v>-1.4136684308474035E-2</v>
      </c>
      <c r="H139" s="16"/>
      <c r="I139" s="16"/>
      <c r="J139" s="15"/>
    </row>
    <row r="140" spans="1:10" x14ac:dyDescent="0.2">
      <c r="A140" s="10">
        <v>46071</v>
      </c>
      <c r="B140" s="11">
        <v>2434.4</v>
      </c>
      <c r="C140">
        <v>25571.25</v>
      </c>
      <c r="D140" s="23">
        <f t="shared" si="4"/>
        <v>-1.8860188601885763E-3</v>
      </c>
      <c r="E140" s="23">
        <f t="shared" si="5"/>
        <v>4.5925352641100758E-3</v>
      </c>
      <c r="H140" s="16"/>
      <c r="I140" s="16"/>
      <c r="J140" s="15"/>
    </row>
    <row r="141" spans="1:10" x14ac:dyDescent="0.2">
      <c r="A141" s="10">
        <v>46072</v>
      </c>
      <c r="B141" s="11">
        <v>2391.6</v>
      </c>
      <c r="C141">
        <v>25713</v>
      </c>
      <c r="D141" s="23">
        <f t="shared" si="4"/>
        <v>-1.758133420966157E-2</v>
      </c>
      <c r="E141" s="23">
        <f t="shared" si="5"/>
        <v>5.5433347998239402E-3</v>
      </c>
      <c r="H141" s="16"/>
      <c r="I141" s="16"/>
      <c r="J141" s="15"/>
    </row>
    <row r="142" spans="1:10" x14ac:dyDescent="0.2">
      <c r="A142" s="10">
        <v>46073</v>
      </c>
      <c r="B142" s="11">
        <v>2428</v>
      </c>
      <c r="C142">
        <v>25424.65</v>
      </c>
      <c r="D142" s="23">
        <f t="shared" si="4"/>
        <v>1.5219936444221371E-2</v>
      </c>
      <c r="E142" s="23">
        <f t="shared" si="5"/>
        <v>-1.1214171819702079E-2</v>
      </c>
      <c r="H142" s="16"/>
      <c r="I142" s="16"/>
      <c r="J142" s="15"/>
    </row>
    <row r="143" spans="1:10" x14ac:dyDescent="0.2">
      <c r="A143" s="10">
        <v>46076</v>
      </c>
      <c r="B143" s="11">
        <v>2433.8000000000002</v>
      </c>
      <c r="C143">
        <v>25482.5</v>
      </c>
      <c r="D143" s="23">
        <f t="shared" si="4"/>
        <v>2.3887973640857041E-3</v>
      </c>
      <c r="E143" s="23">
        <f t="shared" si="5"/>
        <v>2.275350889786143E-3</v>
      </c>
      <c r="H143" s="16"/>
      <c r="I143" s="16"/>
      <c r="J143" s="15"/>
    </row>
    <row r="144" spans="1:10" x14ac:dyDescent="0.2">
      <c r="A144" s="10">
        <v>46077</v>
      </c>
      <c r="B144" s="11">
        <v>2414.4</v>
      </c>
      <c r="C144">
        <v>25496.55</v>
      </c>
      <c r="D144" s="23">
        <f t="shared" si="4"/>
        <v>-7.9710740405949387E-3</v>
      </c>
      <c r="E144" s="23">
        <f t="shared" si="5"/>
        <v>5.5135877563028401E-4</v>
      </c>
      <c r="H144" s="16"/>
      <c r="I144" s="16"/>
      <c r="J144" s="15"/>
    </row>
    <row r="145" spans="1:10" x14ac:dyDescent="0.2">
      <c r="A145" s="10">
        <v>46078</v>
      </c>
      <c r="B145" s="11">
        <v>2412.5</v>
      </c>
      <c r="C145">
        <v>25178.65</v>
      </c>
      <c r="D145" s="23">
        <f t="shared" si="4"/>
        <v>-7.8694499668663376E-4</v>
      </c>
      <c r="E145" s="23">
        <f t="shared" si="5"/>
        <v>-1.2468353561560175E-2</v>
      </c>
      <c r="H145" s="16"/>
      <c r="I145" s="16"/>
      <c r="J145" s="15"/>
    </row>
    <row r="146" spans="1:10" x14ac:dyDescent="0.2">
      <c r="A146" s="10">
        <v>46079</v>
      </c>
      <c r="B146" s="11">
        <v>2395</v>
      </c>
      <c r="C146">
        <v>24865.7</v>
      </c>
      <c r="D146" s="23">
        <f t="shared" si="4"/>
        <v>-7.2538860103626979E-3</v>
      </c>
      <c r="E146" s="23">
        <f t="shared" si="5"/>
        <v>-1.2429181072059148E-2</v>
      </c>
      <c r="H146" s="16"/>
      <c r="I146" s="16"/>
      <c r="J146" s="15"/>
    </row>
    <row r="147" spans="1:10" x14ac:dyDescent="0.2">
      <c r="A147" s="10">
        <v>46080</v>
      </c>
      <c r="B147" s="11">
        <v>2375.1999999999998</v>
      </c>
      <c r="C147">
        <v>24480.5</v>
      </c>
      <c r="D147" s="23">
        <f t="shared" si="4"/>
        <v>-8.2672233820459962E-3</v>
      </c>
      <c r="E147" s="23">
        <f t="shared" si="5"/>
        <v>-1.5491218827541564E-2</v>
      </c>
      <c r="H147" s="16"/>
      <c r="I147" s="16"/>
      <c r="J147" s="15"/>
    </row>
    <row r="148" spans="1:10" x14ac:dyDescent="0.2">
      <c r="A148" s="10">
        <v>46083</v>
      </c>
      <c r="B148" s="11">
        <v>2303</v>
      </c>
      <c r="C148">
        <v>24765.9</v>
      </c>
      <c r="D148" s="23">
        <f t="shared" si="4"/>
        <v>-3.0397440215560678E-2</v>
      </c>
      <c r="E148" s="23">
        <f t="shared" si="5"/>
        <v>1.1658258613999051E-2</v>
      </c>
      <c r="H148" s="16"/>
      <c r="I148" s="16"/>
      <c r="J148" s="15"/>
    </row>
    <row r="149" spans="1:10" x14ac:dyDescent="0.2">
      <c r="A149" s="10">
        <v>46085</v>
      </c>
      <c r="B149" s="11">
        <v>2290</v>
      </c>
      <c r="C149">
        <v>24450.45</v>
      </c>
      <c r="D149" s="23">
        <f t="shared" si="4"/>
        <v>-5.6448111159357328E-3</v>
      </c>
      <c r="E149" s="23">
        <f t="shared" si="5"/>
        <v>-1.2737271813259343E-2</v>
      </c>
      <c r="H149" s="16"/>
      <c r="I149" s="16"/>
      <c r="J149" s="15"/>
    </row>
    <row r="150" spans="1:10" x14ac:dyDescent="0.2">
      <c r="A150" s="10">
        <v>46086</v>
      </c>
      <c r="B150" s="11">
        <v>2282.5</v>
      </c>
      <c r="C150">
        <v>24028.05</v>
      </c>
      <c r="D150" s="23">
        <f t="shared" si="4"/>
        <v>-3.2751091703057122E-3</v>
      </c>
      <c r="E150" s="23">
        <f t="shared" si="5"/>
        <v>-1.7275755660938863E-2</v>
      </c>
      <c r="H150" s="16"/>
      <c r="I150" s="16"/>
      <c r="J150" s="15"/>
    </row>
    <row r="151" spans="1:10" x14ac:dyDescent="0.2">
      <c r="A151" s="10">
        <v>46087</v>
      </c>
      <c r="B151" s="11">
        <v>2282</v>
      </c>
      <c r="C151">
        <v>24261.599999999999</v>
      </c>
      <c r="D151" s="23">
        <f t="shared" si="4"/>
        <v>-2.1905805038335835E-4</v>
      </c>
      <c r="E151" s="23">
        <f t="shared" si="5"/>
        <v>9.7198898787043131E-3</v>
      </c>
      <c r="H151" s="16"/>
      <c r="I151" s="16"/>
      <c r="J151" s="15"/>
    </row>
    <row r="152" spans="1:10" x14ac:dyDescent="0.2">
      <c r="A152" s="10">
        <v>46090</v>
      </c>
      <c r="B152" s="11">
        <v>2217</v>
      </c>
      <c r="C152">
        <v>23866.85</v>
      </c>
      <c r="D152" s="23">
        <f t="shared" si="4"/>
        <v>-2.8483786152497803E-2</v>
      </c>
      <c r="E152" s="23">
        <f t="shared" si="5"/>
        <v>-1.6270567481122433E-2</v>
      </c>
      <c r="H152" s="16"/>
      <c r="I152" s="16"/>
      <c r="J152" s="15"/>
    </row>
    <row r="153" spans="1:10" x14ac:dyDescent="0.2">
      <c r="A153" s="10">
        <v>46091</v>
      </c>
      <c r="B153" s="11">
        <v>2295</v>
      </c>
      <c r="C153">
        <v>23639.15</v>
      </c>
      <c r="D153" s="23">
        <f t="shared" si="4"/>
        <v>3.5182679296346331E-2</v>
      </c>
      <c r="E153" s="23">
        <f t="shared" si="5"/>
        <v>-9.5404295078738155E-3</v>
      </c>
      <c r="H153" s="16"/>
      <c r="I153" s="16"/>
      <c r="J153" s="15"/>
    </row>
    <row r="154" spans="1:10" x14ac:dyDescent="0.2">
      <c r="A154" s="10">
        <v>46092</v>
      </c>
      <c r="B154" s="11">
        <v>2232.9</v>
      </c>
      <c r="C154">
        <v>23151.1</v>
      </c>
      <c r="D154" s="23">
        <f t="shared" si="4"/>
        <v>-2.7058823529411691E-2</v>
      </c>
      <c r="E154" s="23">
        <f t="shared" si="5"/>
        <v>-2.0645835404403456E-2</v>
      </c>
      <c r="H154" s="16"/>
      <c r="I154" s="16"/>
      <c r="J154" s="15"/>
    </row>
    <row r="155" spans="1:10" x14ac:dyDescent="0.2">
      <c r="A155" s="10">
        <v>46093</v>
      </c>
      <c r="B155" s="11">
        <v>2221.4</v>
      </c>
      <c r="C155">
        <v>23408.799999999999</v>
      </c>
      <c r="D155" s="23">
        <f t="shared" si="4"/>
        <v>-5.1502530341708264E-3</v>
      </c>
      <c r="E155" s="23">
        <f t="shared" si="5"/>
        <v>1.1131220546755971E-2</v>
      </c>
      <c r="H155" s="16"/>
      <c r="I155" s="16"/>
      <c r="J155" s="15"/>
    </row>
    <row r="156" spans="1:10" x14ac:dyDescent="0.2">
      <c r="A156" s="10">
        <v>46094</v>
      </c>
      <c r="B156" s="11">
        <v>2194.1</v>
      </c>
      <c r="C156">
        <v>23581.15</v>
      </c>
      <c r="D156" s="23">
        <f t="shared" si="4"/>
        <v>-1.2289547132439127E-2</v>
      </c>
      <c r="E156" s="23">
        <f t="shared" si="5"/>
        <v>7.3626157684290039E-3</v>
      </c>
      <c r="H156" s="16"/>
      <c r="I156" s="16"/>
      <c r="J156" s="15"/>
    </row>
    <row r="157" spans="1:10" x14ac:dyDescent="0.2">
      <c r="A157" s="10">
        <v>46097</v>
      </c>
      <c r="B157" s="11">
        <v>2215</v>
      </c>
      <c r="C157">
        <v>23777.8</v>
      </c>
      <c r="D157" s="23">
        <f t="shared" si="4"/>
        <v>9.5255457818697042E-3</v>
      </c>
      <c r="E157" s="23">
        <f t="shared" si="5"/>
        <v>8.3392879482127036E-3</v>
      </c>
      <c r="H157" s="16"/>
      <c r="I157" s="16"/>
      <c r="J157" s="15"/>
    </row>
    <row r="158" spans="1:10" x14ac:dyDescent="0.2">
      <c r="A158" s="10">
        <v>46098</v>
      </c>
      <c r="B158" s="11">
        <v>2240.5</v>
      </c>
      <c r="C158">
        <v>23002.15</v>
      </c>
      <c r="D158" s="23">
        <f t="shared" si="4"/>
        <v>1.1512415349887117E-2</v>
      </c>
      <c r="E158" s="23">
        <f t="shared" si="5"/>
        <v>-3.2620763905828021E-2</v>
      </c>
      <c r="H158" s="16"/>
      <c r="I158" s="16"/>
      <c r="J158" s="15"/>
    </row>
    <row r="159" spans="1:10" x14ac:dyDescent="0.2">
      <c r="A159" s="10">
        <v>46099</v>
      </c>
      <c r="B159" s="11">
        <v>2260</v>
      </c>
      <c r="C159">
        <v>23114.5</v>
      </c>
      <c r="D159" s="23">
        <f t="shared" si="4"/>
        <v>8.7034144164248595E-3</v>
      </c>
      <c r="E159" s="23">
        <f t="shared" si="5"/>
        <v>4.8843260303927938E-3</v>
      </c>
      <c r="H159" s="16"/>
      <c r="I159" s="16"/>
      <c r="J159" s="15"/>
    </row>
    <row r="160" spans="1:10" x14ac:dyDescent="0.2">
      <c r="A160" s="10">
        <v>46100</v>
      </c>
      <c r="B160" s="11">
        <v>2195.5</v>
      </c>
      <c r="C160">
        <v>22512.65</v>
      </c>
      <c r="D160" s="23">
        <f t="shared" si="4"/>
        <v>-2.8539823008849607E-2</v>
      </c>
      <c r="E160" s="23">
        <f t="shared" si="5"/>
        <v>-2.6037768500291936E-2</v>
      </c>
      <c r="H160" s="16"/>
      <c r="I160" s="16"/>
      <c r="J160" s="15"/>
    </row>
    <row r="161" spans="1:10" x14ac:dyDescent="0.2">
      <c r="A161" s="10">
        <v>46101</v>
      </c>
      <c r="B161" s="11">
        <v>2204.8000000000002</v>
      </c>
      <c r="C161">
        <v>22912.400000000001</v>
      </c>
      <c r="D161" s="23">
        <f t="shared" si="4"/>
        <v>4.2359371441584859E-3</v>
      </c>
      <c r="E161" s="23">
        <f t="shared" si="5"/>
        <v>1.7756683464629885E-2</v>
      </c>
      <c r="H161" s="16"/>
      <c r="I161" s="16"/>
      <c r="J161" s="15"/>
    </row>
    <row r="162" spans="1:10" x14ac:dyDescent="0.2">
      <c r="A162" s="10">
        <v>46104</v>
      </c>
      <c r="B162" s="11">
        <v>2120.8000000000002</v>
      </c>
      <c r="C162">
        <v>23306.45</v>
      </c>
      <c r="D162" s="23">
        <f t="shared" si="4"/>
        <v>-3.8098693759071156E-2</v>
      </c>
      <c r="E162" s="23">
        <f t="shared" si="5"/>
        <v>1.7198111066496713E-2</v>
      </c>
      <c r="H162" s="16"/>
      <c r="I162" s="16"/>
      <c r="J162" s="15"/>
    </row>
    <row r="163" spans="1:10" x14ac:dyDescent="0.2">
      <c r="A163" s="10">
        <v>46105</v>
      </c>
      <c r="B163" s="11">
        <v>2220.5</v>
      </c>
      <c r="C163">
        <v>22819.599999999999</v>
      </c>
      <c r="D163" s="23">
        <f t="shared" si="4"/>
        <v>4.7010562052055782E-2</v>
      </c>
      <c r="E163" s="23">
        <f t="shared" si="5"/>
        <v>-2.0889067189554966E-2</v>
      </c>
      <c r="H163" s="16"/>
      <c r="I163" s="16"/>
      <c r="J163" s="15"/>
    </row>
    <row r="164" spans="1:10" x14ac:dyDescent="0.2">
      <c r="A164" s="10">
        <v>46106</v>
      </c>
      <c r="B164" s="11">
        <v>2271</v>
      </c>
      <c r="C164">
        <v>22331.4</v>
      </c>
      <c r="D164" s="23">
        <f t="shared" si="4"/>
        <v>2.2742625534789562E-2</v>
      </c>
      <c r="E164" s="23">
        <f t="shared" si="5"/>
        <v>-2.1393889463443561E-2</v>
      </c>
      <c r="H164" s="16"/>
      <c r="I164" s="16"/>
      <c r="J164" s="15"/>
    </row>
    <row r="165" spans="1:10" x14ac:dyDescent="0.2">
      <c r="A165" s="10">
        <v>46108</v>
      </c>
      <c r="B165" s="11">
        <v>2209.1999999999998</v>
      </c>
      <c r="C165">
        <v>22679.4</v>
      </c>
      <c r="D165" s="23">
        <f t="shared" si="4"/>
        <v>-2.7212681638045022E-2</v>
      </c>
      <c r="E165" s="23">
        <f t="shared" si="5"/>
        <v>1.5583438566323604E-2</v>
      </c>
      <c r="H165" s="16"/>
      <c r="I165" s="16"/>
      <c r="J165" s="15"/>
    </row>
    <row r="166" spans="1:10" x14ac:dyDescent="0.2">
      <c r="A166" s="10">
        <v>46111</v>
      </c>
      <c r="B166" s="11">
        <v>2168.1999999999998</v>
      </c>
      <c r="C166">
        <v>22713.1</v>
      </c>
      <c r="D166" s="23">
        <f t="shared" si="4"/>
        <v>-1.8558754300199154E-2</v>
      </c>
      <c r="E166" s="23">
        <f t="shared" si="5"/>
        <v>1.4859299628737777E-3</v>
      </c>
      <c r="H166" s="16"/>
      <c r="I166" s="16"/>
      <c r="J166" s="15"/>
    </row>
    <row r="167" spans="1:10" x14ac:dyDescent="0.2">
      <c r="A167" s="10">
        <v>46113</v>
      </c>
      <c r="B167" s="11">
        <v>2226</v>
      </c>
      <c r="C167">
        <v>22968.25</v>
      </c>
      <c r="D167" s="23">
        <f t="shared" si="4"/>
        <v>2.6658057374780997E-2</v>
      </c>
      <c r="E167" s="23">
        <f t="shared" si="5"/>
        <v>1.123360527625028E-2</v>
      </c>
      <c r="H167" s="16"/>
      <c r="I167" s="16"/>
      <c r="J167" s="15"/>
    </row>
    <row r="168" spans="1:10" x14ac:dyDescent="0.2">
      <c r="A168" s="10">
        <v>46114</v>
      </c>
      <c r="B168" s="11">
        <v>2170.4</v>
      </c>
      <c r="C168">
        <v>23123.65</v>
      </c>
      <c r="D168" s="23">
        <f t="shared" si="4"/>
        <v>-2.4977538185085302E-2</v>
      </c>
      <c r="E168" s="23">
        <f t="shared" si="5"/>
        <v>6.7658615697756552E-3</v>
      </c>
      <c r="H168" s="16"/>
      <c r="I168" s="16"/>
      <c r="J168" s="15"/>
    </row>
    <row r="169" spans="1:10" x14ac:dyDescent="0.2">
      <c r="A169" s="10">
        <v>46118</v>
      </c>
      <c r="B169" s="11">
        <v>2190</v>
      </c>
      <c r="C169">
        <v>23997.35</v>
      </c>
      <c r="D169" s="23">
        <f t="shared" si="4"/>
        <v>9.0305934389973697E-3</v>
      </c>
      <c r="E169" s="23">
        <f t="shared" si="5"/>
        <v>3.7783827380192925E-2</v>
      </c>
      <c r="H169" s="16"/>
      <c r="I169" s="16"/>
      <c r="J169" s="15"/>
    </row>
    <row r="170" spans="1:10" x14ac:dyDescent="0.2">
      <c r="A170" s="10">
        <v>46119</v>
      </c>
      <c r="B170" s="11">
        <v>2197</v>
      </c>
      <c r="C170">
        <v>23775.1</v>
      </c>
      <c r="D170" s="23">
        <f t="shared" si="4"/>
        <v>3.1963470319633647E-3</v>
      </c>
      <c r="E170" s="23">
        <f t="shared" si="5"/>
        <v>-9.2614392839209803E-3</v>
      </c>
      <c r="H170" s="16"/>
      <c r="I170" s="16"/>
      <c r="J170" s="15"/>
    </row>
    <row r="171" spans="1:10" x14ac:dyDescent="0.2">
      <c r="A171" s="10">
        <v>46120</v>
      </c>
      <c r="B171" s="11">
        <v>2288</v>
      </c>
      <c r="C171">
        <v>24050.6</v>
      </c>
      <c r="D171" s="23">
        <f t="shared" si="4"/>
        <v>4.1420118343195256E-2</v>
      </c>
      <c r="E171" s="23">
        <f t="shared" si="5"/>
        <v>1.1587753574117565E-2</v>
      </c>
      <c r="H171" s="16"/>
      <c r="I171" s="16"/>
      <c r="J171" s="15"/>
    </row>
    <row r="172" spans="1:10" x14ac:dyDescent="0.2">
      <c r="A172" s="10">
        <v>46121</v>
      </c>
      <c r="B172" s="11">
        <v>2267.1</v>
      </c>
      <c r="C172">
        <v>23842.65</v>
      </c>
      <c r="D172" s="23">
        <f t="shared" si="4"/>
        <v>-9.1346153846154632E-3</v>
      </c>
      <c r="E172" s="23">
        <f t="shared" si="5"/>
        <v>-8.6463539371157694E-3</v>
      </c>
      <c r="H172" s="16"/>
      <c r="I172" s="16"/>
      <c r="J172" s="15"/>
    </row>
    <row r="173" spans="1:10" x14ac:dyDescent="0.2">
      <c r="A173" s="10">
        <v>46122</v>
      </c>
      <c r="B173" s="11">
        <v>2356</v>
      </c>
      <c r="C173">
        <v>24231.3</v>
      </c>
      <c r="D173" s="23">
        <f t="shared" si="4"/>
        <v>3.9213091614838325E-2</v>
      </c>
      <c r="E173" s="23">
        <f t="shared" si="5"/>
        <v>1.6300620946077649E-2</v>
      </c>
      <c r="H173" s="16"/>
      <c r="I173" s="16"/>
      <c r="J173" s="15"/>
    </row>
    <row r="174" spans="1:10" x14ac:dyDescent="0.2">
      <c r="A174" s="10">
        <v>46125</v>
      </c>
      <c r="B174" s="11">
        <v>2348</v>
      </c>
      <c r="C174">
        <v>24196.75</v>
      </c>
      <c r="D174" s="23">
        <f t="shared" si="4"/>
        <v>-3.3955857385399302E-3</v>
      </c>
      <c r="E174" s="23">
        <f t="shared" si="5"/>
        <v>-1.4258417831481962E-3</v>
      </c>
      <c r="H174" s="16"/>
      <c r="I174" s="16"/>
      <c r="J174" s="15"/>
    </row>
    <row r="175" spans="1:10" x14ac:dyDescent="0.2">
      <c r="A175" s="10">
        <v>46127</v>
      </c>
      <c r="B175" s="11">
        <v>2420.6999999999998</v>
      </c>
      <c r="C175">
        <v>24353.55</v>
      </c>
      <c r="D175" s="23">
        <f t="shared" si="4"/>
        <v>3.0962521294718881E-2</v>
      </c>
      <c r="E175" s="23">
        <f t="shared" si="5"/>
        <v>6.4802091189932742E-3</v>
      </c>
      <c r="H175" s="16"/>
      <c r="I175" s="16"/>
      <c r="J175" s="15"/>
    </row>
    <row r="176" spans="1:10" x14ac:dyDescent="0.2">
      <c r="A176" s="10">
        <v>46128</v>
      </c>
      <c r="B176" s="11">
        <v>2438</v>
      </c>
      <c r="C176">
        <v>24364.85</v>
      </c>
      <c r="D176" s="23">
        <f t="shared" si="4"/>
        <v>7.1466931053001392E-3</v>
      </c>
      <c r="E176" s="23">
        <f t="shared" si="5"/>
        <v>4.6399806188412995E-4</v>
      </c>
      <c r="H176" s="16"/>
      <c r="I176" s="16"/>
      <c r="J176" s="15"/>
    </row>
    <row r="177" spans="1:10" x14ac:dyDescent="0.2">
      <c r="A177" s="10">
        <v>46129</v>
      </c>
      <c r="B177" s="11">
        <v>2471.6</v>
      </c>
      <c r="C177">
        <v>24576.6</v>
      </c>
      <c r="D177" s="23">
        <f t="shared" si="4"/>
        <v>1.3781788351107327E-2</v>
      </c>
      <c r="E177" s="23">
        <f t="shared" si="5"/>
        <v>8.690798424779933E-3</v>
      </c>
      <c r="H177" s="16"/>
      <c r="I177" s="16"/>
      <c r="J177" s="15"/>
    </row>
    <row r="178" spans="1:10" x14ac:dyDescent="0.2">
      <c r="A178" s="10">
        <v>46132</v>
      </c>
      <c r="B178" s="11">
        <v>2510</v>
      </c>
      <c r="C178">
        <v>24378.1</v>
      </c>
      <c r="D178" s="23">
        <f t="shared" si="4"/>
        <v>1.5536494578410887E-2</v>
      </c>
      <c r="E178" s="23">
        <f t="shared" si="5"/>
        <v>-8.0767884898643727E-3</v>
      </c>
      <c r="H178" s="16"/>
      <c r="I178" s="16"/>
      <c r="J178" s="15"/>
    </row>
    <row r="179" spans="1:10" x14ac:dyDescent="0.2">
      <c r="A179" s="10">
        <v>46133</v>
      </c>
      <c r="B179" s="11">
        <v>2545</v>
      </c>
      <c r="C179">
        <v>24173.05</v>
      </c>
      <c r="D179" s="23">
        <f t="shared" si="4"/>
        <v>1.3944223107569709E-2</v>
      </c>
      <c r="E179" s="23">
        <f t="shared" si="5"/>
        <v>-8.4112379553779038E-3</v>
      </c>
      <c r="H179" s="16"/>
      <c r="I179" s="16"/>
      <c r="J179" s="15"/>
    </row>
    <row r="180" spans="1:10" x14ac:dyDescent="0.2">
      <c r="A180" s="10">
        <v>46134</v>
      </c>
      <c r="B180" s="11">
        <v>2563.1999999999998</v>
      </c>
      <c r="C180">
        <v>23897.95</v>
      </c>
      <c r="D180" s="23">
        <f t="shared" si="4"/>
        <v>7.1512770137522885E-3</v>
      </c>
      <c r="E180" s="23">
        <f t="shared" si="5"/>
        <v>-1.1380442269386726E-2</v>
      </c>
      <c r="H180" s="16"/>
      <c r="I180" s="16"/>
      <c r="J180" s="15"/>
    </row>
    <row r="181" spans="1:10" x14ac:dyDescent="0.2">
      <c r="A181" s="10">
        <v>46135</v>
      </c>
      <c r="B181" s="11">
        <v>2516</v>
      </c>
      <c r="C181">
        <v>24092.7</v>
      </c>
      <c r="D181" s="23">
        <f t="shared" si="4"/>
        <v>-1.8414481897627843E-2</v>
      </c>
      <c r="E181" s="23">
        <f t="shared" si="5"/>
        <v>8.1492345577758307E-3</v>
      </c>
      <c r="H181" s="16"/>
      <c r="I181" s="16"/>
      <c r="J181" s="15"/>
    </row>
    <row r="182" spans="1:10" x14ac:dyDescent="0.2">
      <c r="A182" s="10">
        <v>46136</v>
      </c>
      <c r="B182" s="11">
        <v>2483.6999999999998</v>
      </c>
      <c r="C182">
        <v>23995.7</v>
      </c>
      <c r="D182" s="23">
        <f t="shared" si="4"/>
        <v>-1.2837837837837873E-2</v>
      </c>
      <c r="E182" s="23">
        <f t="shared" si="5"/>
        <v>-4.0261157944107007E-3</v>
      </c>
      <c r="H182" s="16"/>
      <c r="I182" s="16"/>
      <c r="J182" s="15"/>
    </row>
    <row r="183" spans="1:10" x14ac:dyDescent="0.2">
      <c r="A183" s="10">
        <v>46139</v>
      </c>
      <c r="B183" s="11">
        <v>2478.1</v>
      </c>
      <c r="C183">
        <v>24177.65</v>
      </c>
      <c r="D183" s="23">
        <f t="shared" si="4"/>
        <v>-2.2547006482264154E-3</v>
      </c>
      <c r="E183" s="23">
        <f t="shared" si="5"/>
        <v>7.5826085506986995E-3</v>
      </c>
      <c r="H183" s="16"/>
      <c r="I183" s="16"/>
      <c r="J183" s="15"/>
    </row>
    <row r="184" spans="1:10" x14ac:dyDescent="0.2">
      <c r="A184" s="10">
        <v>46140</v>
      </c>
      <c r="B184" s="11">
        <v>2456.1</v>
      </c>
      <c r="C184">
        <v>23997.55</v>
      </c>
      <c r="D184" s="23">
        <f t="shared" si="4"/>
        <v>-8.8777692587063139E-3</v>
      </c>
      <c r="E184" s="23">
        <f t="shared" si="5"/>
        <v>-7.4490283381554168E-3</v>
      </c>
      <c r="H184" s="16"/>
      <c r="I184" s="16"/>
      <c r="J184" s="15"/>
    </row>
    <row r="185" spans="1:10" x14ac:dyDescent="0.2">
      <c r="A185" s="10">
        <v>46141</v>
      </c>
      <c r="B185" s="11">
        <v>2451.6</v>
      </c>
      <c r="C185">
        <v>24119.3</v>
      </c>
      <c r="D185" s="23">
        <f t="shared" si="4"/>
        <v>-1.8321729571271206E-3</v>
      </c>
      <c r="E185" s="23">
        <f t="shared" si="5"/>
        <v>5.0734345797800451E-3</v>
      </c>
      <c r="H185" s="16"/>
      <c r="I185" s="16"/>
      <c r="J185" s="15"/>
    </row>
    <row r="186" spans="1:10" x14ac:dyDescent="0.2">
      <c r="A186" s="10">
        <v>46142</v>
      </c>
      <c r="B186" s="11">
        <v>2450</v>
      </c>
      <c r="C186">
        <v>24032.799999999999</v>
      </c>
      <c r="D186" s="23">
        <f t="shared" si="4"/>
        <v>-6.5263501386847445E-4</v>
      </c>
      <c r="E186" s="23">
        <f t="shared" si="5"/>
        <v>-3.5863395703855661E-3</v>
      </c>
      <c r="H186" s="16"/>
      <c r="I186" s="16"/>
      <c r="J186" s="15"/>
    </row>
    <row r="187" spans="1:10" x14ac:dyDescent="0.2">
      <c r="A187" s="10">
        <v>46146</v>
      </c>
      <c r="B187" s="11">
        <v>2448</v>
      </c>
      <c r="C187">
        <v>24330.95</v>
      </c>
      <c r="D187" s="23">
        <f t="shared" si="4"/>
        <v>-8.1632653061225469E-4</v>
      </c>
      <c r="E187" s="23">
        <f t="shared" si="5"/>
        <v>1.2405961852135494E-2</v>
      </c>
      <c r="H187" s="16"/>
      <c r="I187" s="16"/>
      <c r="J187" s="15"/>
    </row>
    <row r="188" spans="1:10" x14ac:dyDescent="0.2">
      <c r="A188" s="10">
        <v>46147</v>
      </c>
      <c r="B188" s="11">
        <v>2432.5</v>
      </c>
      <c r="C188">
        <v>24326.65</v>
      </c>
      <c r="D188" s="23">
        <f t="shared" si="4"/>
        <v>-6.3316993464052063E-3</v>
      </c>
      <c r="E188" s="23">
        <f t="shared" si="5"/>
        <v>-1.7672963858783586E-4</v>
      </c>
      <c r="H188" s="16"/>
      <c r="I188" s="16"/>
      <c r="J188" s="15"/>
    </row>
    <row r="189" spans="1:10" x14ac:dyDescent="0.2">
      <c r="A189" s="10">
        <v>46148</v>
      </c>
      <c r="B189" s="11">
        <v>2525.1</v>
      </c>
      <c r="C189">
        <v>24176.15</v>
      </c>
      <c r="D189" s="23">
        <f t="shared" si="4"/>
        <v>3.8067831449126288E-2</v>
      </c>
      <c r="E189" s="23">
        <f t="shared" si="5"/>
        <v>-6.1866307115858721E-3</v>
      </c>
      <c r="H189" s="16"/>
      <c r="I189" s="16"/>
      <c r="J189" s="15"/>
    </row>
    <row r="190" spans="1:10" x14ac:dyDescent="0.2">
      <c r="A190" s="10">
        <v>46149</v>
      </c>
      <c r="B190" s="11">
        <v>2536</v>
      </c>
      <c r="C190">
        <v>23815.85</v>
      </c>
      <c r="D190" s="23">
        <f t="shared" si="4"/>
        <v>4.3166607263078749E-3</v>
      </c>
      <c r="E190" s="23">
        <f t="shared" si="5"/>
        <v>-1.4903117328441629E-2</v>
      </c>
      <c r="H190" s="16"/>
      <c r="I190" s="16"/>
      <c r="J190" s="15"/>
    </row>
    <row r="191" spans="1:10" x14ac:dyDescent="0.2">
      <c r="A191" s="10">
        <v>46150</v>
      </c>
      <c r="B191" s="11">
        <v>2600</v>
      </c>
      <c r="C191">
        <v>23379.55</v>
      </c>
      <c r="D191" s="23">
        <f t="shared" si="4"/>
        <v>2.5236593059936974E-2</v>
      </c>
      <c r="E191" s="23">
        <f t="shared" si="5"/>
        <v>-1.8319732447088732E-2</v>
      </c>
      <c r="H191" s="16"/>
      <c r="I191" s="16"/>
      <c r="J191" s="15"/>
    </row>
    <row r="192" spans="1:10" x14ac:dyDescent="0.2">
      <c r="A192" s="10">
        <v>46153</v>
      </c>
      <c r="B192" s="11">
        <v>2568</v>
      </c>
      <c r="C192">
        <v>23412.6</v>
      </c>
      <c r="D192" s="23">
        <f t="shared" si="4"/>
        <v>-1.2307692307692353E-2</v>
      </c>
      <c r="E192" s="23">
        <f t="shared" si="5"/>
        <v>1.4136285771111368E-3</v>
      </c>
      <c r="H192" s="16"/>
      <c r="I192" s="16"/>
      <c r="J192" s="15"/>
    </row>
    <row r="193" spans="1:10" x14ac:dyDescent="0.2">
      <c r="A193" s="10">
        <v>46154</v>
      </c>
      <c r="B193" s="11">
        <v>2508</v>
      </c>
      <c r="C193">
        <v>23689.599999999999</v>
      </c>
      <c r="D193" s="23">
        <f t="shared" si="4"/>
        <v>-2.3364485981308358E-2</v>
      </c>
      <c r="E193" s="23">
        <f t="shared" si="5"/>
        <v>1.1831236171975679E-2</v>
      </c>
      <c r="H193" s="16"/>
      <c r="I193" s="16"/>
      <c r="J193" s="15"/>
    </row>
    <row r="194" spans="1:10" x14ac:dyDescent="0.2">
      <c r="A194" s="10">
        <v>46155</v>
      </c>
      <c r="B194" s="11">
        <v>2615</v>
      </c>
      <c r="C194">
        <v>23643.5</v>
      </c>
      <c r="D194" s="23">
        <f t="shared" si="4"/>
        <v>4.2663476874003292E-2</v>
      </c>
      <c r="E194" s="23">
        <f t="shared" si="5"/>
        <v>-1.946001620964366E-3</v>
      </c>
      <c r="H194" s="16"/>
      <c r="I194" s="16"/>
      <c r="J194" s="15"/>
    </row>
    <row r="195" spans="1:10" x14ac:dyDescent="0.2">
      <c r="A195" s="10">
        <v>46156</v>
      </c>
      <c r="B195" s="11">
        <v>2614</v>
      </c>
      <c r="C195">
        <v>23649.95</v>
      </c>
      <c r="D195" s="23">
        <f t="shared" si="4"/>
        <v>-3.8240917782028649E-4</v>
      </c>
      <c r="E195" s="23">
        <f t="shared" si="5"/>
        <v>2.7280225008996517E-4</v>
      </c>
      <c r="H195" s="16"/>
      <c r="I195" s="16"/>
      <c r="J195" s="15"/>
    </row>
    <row r="196" spans="1:10" x14ac:dyDescent="0.2">
      <c r="A196" s="10">
        <v>46157</v>
      </c>
      <c r="B196" s="11">
        <v>2609</v>
      </c>
      <c r="C196">
        <v>23618</v>
      </c>
      <c r="D196" s="23">
        <f t="shared" ref="D196:D250" si="6">B196/B195-1</f>
        <v>-1.9127773527161107E-3</v>
      </c>
      <c r="E196" s="23">
        <f t="shared" ref="E196:E247" si="7">C196/C195-1</f>
        <v>-1.3509542303472566E-3</v>
      </c>
      <c r="H196" s="16"/>
      <c r="I196" s="16"/>
      <c r="J196" s="15"/>
    </row>
    <row r="197" spans="1:10" x14ac:dyDescent="0.2">
      <c r="A197" s="10">
        <v>46160</v>
      </c>
      <c r="B197" s="11">
        <v>2605.6</v>
      </c>
      <c r="C197">
        <v>23659</v>
      </c>
      <c r="D197" s="23">
        <f t="shared" si="6"/>
        <v>-1.3031812955155431E-3</v>
      </c>
      <c r="E197" s="23">
        <f t="shared" si="7"/>
        <v>1.7359640951817301E-3</v>
      </c>
      <c r="H197" s="16"/>
      <c r="I197" s="16"/>
      <c r="J197" s="15"/>
    </row>
    <row r="198" spans="1:10" x14ac:dyDescent="0.2">
      <c r="A198" s="10">
        <v>46161</v>
      </c>
      <c r="B198" s="11">
        <v>2597.6</v>
      </c>
      <c r="C198">
        <v>23654.7</v>
      </c>
      <c r="D198" s="23">
        <f t="shared" si="6"/>
        <v>-3.070310101320195E-3</v>
      </c>
      <c r="E198" s="23">
        <f t="shared" si="7"/>
        <v>-1.8174901728729154E-4</v>
      </c>
      <c r="H198" s="16"/>
      <c r="I198" s="16"/>
      <c r="J198" s="15"/>
    </row>
    <row r="199" spans="1:10" x14ac:dyDescent="0.2">
      <c r="A199" s="10">
        <v>46162</v>
      </c>
      <c r="B199" s="11">
        <v>2605</v>
      </c>
      <c r="C199">
        <v>23719.3</v>
      </c>
      <c r="D199" s="23">
        <f t="shared" si="6"/>
        <v>2.848783492454654E-3</v>
      </c>
      <c r="E199" s="23">
        <f t="shared" si="7"/>
        <v>2.7309583296342144E-3</v>
      </c>
      <c r="H199" s="16"/>
      <c r="I199" s="16"/>
      <c r="J199" s="15"/>
    </row>
    <row r="200" spans="1:10" x14ac:dyDescent="0.2">
      <c r="A200" s="10">
        <v>46163</v>
      </c>
      <c r="B200" s="11">
        <v>2597</v>
      </c>
      <c r="C200">
        <v>24031.7</v>
      </c>
      <c r="D200" s="23">
        <f t="shared" si="6"/>
        <v>-3.0710172744721209E-3</v>
      </c>
      <c r="E200" s="23">
        <f t="shared" si="7"/>
        <v>1.3170709085006838E-2</v>
      </c>
      <c r="H200" s="16"/>
      <c r="I200" s="16"/>
      <c r="J200" s="15"/>
    </row>
    <row r="201" spans="1:10" x14ac:dyDescent="0.2">
      <c r="A201" s="10">
        <v>46164</v>
      </c>
      <c r="B201" s="11">
        <v>2636.7</v>
      </c>
      <c r="C201">
        <v>23913.7</v>
      </c>
      <c r="D201" s="23">
        <f t="shared" si="6"/>
        <v>1.5286869464766983E-2</v>
      </c>
      <c r="E201" s="23">
        <f t="shared" si="7"/>
        <v>-4.9101811357498137E-3</v>
      </c>
      <c r="H201" s="16"/>
      <c r="I201" s="16"/>
      <c r="J201" s="15"/>
    </row>
    <row r="202" spans="1:10" x14ac:dyDescent="0.2">
      <c r="A202" s="10">
        <v>46167</v>
      </c>
      <c r="B202" s="11">
        <v>2658</v>
      </c>
      <c r="C202">
        <v>23907.15</v>
      </c>
      <c r="D202" s="23">
        <f t="shared" si="6"/>
        <v>8.0782796677665303E-3</v>
      </c>
      <c r="E202" s="23">
        <f t="shared" si="7"/>
        <v>-2.7390157106588209E-4</v>
      </c>
      <c r="H202" s="16"/>
      <c r="I202" s="16"/>
      <c r="J202" s="15"/>
    </row>
    <row r="203" spans="1:10" x14ac:dyDescent="0.2">
      <c r="A203" s="10">
        <v>46168</v>
      </c>
      <c r="B203" s="11">
        <v>2644.4</v>
      </c>
      <c r="C203">
        <v>23547.75</v>
      </c>
      <c r="D203" s="23">
        <f t="shared" si="6"/>
        <v>-5.1166290443942497E-3</v>
      </c>
      <c r="E203" s="23">
        <f t="shared" si="7"/>
        <v>-1.5033159535954743E-2</v>
      </c>
      <c r="H203" s="16"/>
      <c r="I203" s="16"/>
      <c r="J203" s="15"/>
    </row>
    <row r="204" spans="1:10" x14ac:dyDescent="0.2">
      <c r="A204" s="10">
        <v>46169</v>
      </c>
      <c r="B204" s="11">
        <v>2675</v>
      </c>
      <c r="C204">
        <v>23382.6</v>
      </c>
      <c r="D204" s="23">
        <f t="shared" si="6"/>
        <v>1.1571623052488267E-2</v>
      </c>
      <c r="E204" s="23">
        <f t="shared" si="7"/>
        <v>-7.0134089244195952E-3</v>
      </c>
      <c r="H204" s="16"/>
      <c r="I204" s="16"/>
      <c r="J204" s="15"/>
    </row>
    <row r="205" spans="1:10" x14ac:dyDescent="0.2">
      <c r="A205" s="10">
        <v>46171</v>
      </c>
      <c r="B205" s="11">
        <v>2688</v>
      </c>
      <c r="C205">
        <v>23483.55</v>
      </c>
      <c r="D205" s="23">
        <f t="shared" si="6"/>
        <v>4.8598130841122078E-3</v>
      </c>
      <c r="E205" s="23">
        <f t="shared" si="7"/>
        <v>4.3173128736753164E-3</v>
      </c>
      <c r="H205" s="16"/>
      <c r="I205" s="16"/>
      <c r="J205" s="15"/>
    </row>
    <row r="206" spans="1:10" x14ac:dyDescent="0.2">
      <c r="A206" s="10">
        <v>46174</v>
      </c>
      <c r="B206" s="11">
        <v>2636</v>
      </c>
      <c r="C206">
        <v>23405.599999999999</v>
      </c>
      <c r="D206" s="23">
        <f t="shared" si="6"/>
        <v>-1.9345238095238138E-2</v>
      </c>
      <c r="E206" s="23">
        <f t="shared" si="7"/>
        <v>-3.3193448179683616E-3</v>
      </c>
      <c r="H206" s="16"/>
      <c r="I206" s="16"/>
      <c r="J206" s="15"/>
    </row>
    <row r="207" spans="1:10" x14ac:dyDescent="0.2">
      <c r="A207" s="10">
        <v>46175</v>
      </c>
      <c r="B207" s="11">
        <v>2657.3</v>
      </c>
      <c r="C207">
        <v>23416.55</v>
      </c>
      <c r="D207" s="23">
        <f t="shared" si="6"/>
        <v>8.0804248861912065E-3</v>
      </c>
      <c r="E207" s="23">
        <f t="shared" si="7"/>
        <v>4.6783675701544958E-4</v>
      </c>
      <c r="H207" s="16"/>
      <c r="I207" s="16"/>
      <c r="J207" s="15"/>
    </row>
    <row r="208" spans="1:10" x14ac:dyDescent="0.2">
      <c r="A208" s="10">
        <v>46176</v>
      </c>
      <c r="B208" s="11">
        <v>2657</v>
      </c>
      <c r="C208">
        <v>23366.7</v>
      </c>
      <c r="D208" s="23">
        <f t="shared" si="6"/>
        <v>-1.1289654912893798E-4</v>
      </c>
      <c r="E208" s="23">
        <f t="shared" si="7"/>
        <v>-2.1288362290772245E-3</v>
      </c>
      <c r="H208" s="16"/>
      <c r="I208" s="16"/>
      <c r="J208" s="15"/>
    </row>
    <row r="209" spans="1:10" x14ac:dyDescent="0.2">
      <c r="A209" s="10">
        <v>46177</v>
      </c>
      <c r="B209" s="11">
        <v>2658.3</v>
      </c>
      <c r="C209">
        <v>23123</v>
      </c>
      <c r="D209" s="23">
        <f t="shared" si="6"/>
        <v>4.8927361686113002E-4</v>
      </c>
      <c r="E209" s="23">
        <f t="shared" si="7"/>
        <v>-1.0429371712736502E-2</v>
      </c>
      <c r="H209" s="16"/>
      <c r="I209" s="16"/>
      <c r="J209" s="15"/>
    </row>
    <row r="210" spans="1:10" x14ac:dyDescent="0.2">
      <c r="A210" s="10">
        <v>46178</v>
      </c>
      <c r="B210" s="11">
        <v>2677</v>
      </c>
      <c r="C210">
        <v>23242.1</v>
      </c>
      <c r="D210" s="23">
        <f t="shared" si="6"/>
        <v>7.0345709664070277E-3</v>
      </c>
      <c r="E210" s="23">
        <f t="shared" si="7"/>
        <v>5.1507157375771939E-3</v>
      </c>
      <c r="H210" s="16"/>
      <c r="I210" s="16"/>
      <c r="J210" s="15"/>
    </row>
    <row r="211" spans="1:10" x14ac:dyDescent="0.2">
      <c r="A211" s="10">
        <v>46181</v>
      </c>
      <c r="B211" s="11">
        <v>2655.1</v>
      </c>
      <c r="C211">
        <v>23214.95</v>
      </c>
      <c r="D211" s="23">
        <f t="shared" si="6"/>
        <v>-8.1807994023160857E-3</v>
      </c>
      <c r="E211" s="23">
        <f t="shared" si="7"/>
        <v>-1.1681388514805935E-3</v>
      </c>
      <c r="H211" s="16"/>
      <c r="I211" s="16"/>
      <c r="J211" s="15"/>
    </row>
    <row r="212" spans="1:10" x14ac:dyDescent="0.2">
      <c r="A212" s="10">
        <v>46182</v>
      </c>
      <c r="B212" s="11">
        <v>2707</v>
      </c>
      <c r="C212">
        <v>23161.599999999999</v>
      </c>
      <c r="D212" s="23">
        <f t="shared" si="6"/>
        <v>1.9547286354562932E-2</v>
      </c>
      <c r="E212" s="23">
        <f t="shared" si="7"/>
        <v>-2.2980880854794883E-3</v>
      </c>
      <c r="H212" s="16"/>
      <c r="I212" s="16"/>
      <c r="J212" s="15"/>
    </row>
    <row r="213" spans="1:10" x14ac:dyDescent="0.2">
      <c r="A213" s="10">
        <v>46183</v>
      </c>
      <c r="B213" s="11">
        <v>2700</v>
      </c>
      <c r="C213">
        <v>23622.9</v>
      </c>
      <c r="D213" s="23">
        <f t="shared" si="6"/>
        <v>-2.5858884373846092E-3</v>
      </c>
      <c r="E213" s="23">
        <f t="shared" si="7"/>
        <v>1.9916586073501108E-2</v>
      </c>
      <c r="H213" s="16"/>
      <c r="I213" s="16"/>
      <c r="J213" s="15"/>
    </row>
    <row r="214" spans="1:10" x14ac:dyDescent="0.2">
      <c r="A214" s="10">
        <v>46184</v>
      </c>
      <c r="B214" s="11">
        <v>2690</v>
      </c>
      <c r="C214">
        <v>23853.9</v>
      </c>
      <c r="D214" s="23">
        <f t="shared" si="6"/>
        <v>-3.7037037037036535E-3</v>
      </c>
      <c r="E214" s="23">
        <f t="shared" si="7"/>
        <v>9.7786469908436313E-3</v>
      </c>
      <c r="H214" s="16"/>
      <c r="I214" s="16"/>
      <c r="J214" s="15"/>
    </row>
    <row r="215" spans="1:10" x14ac:dyDescent="0.2">
      <c r="A215" s="10">
        <v>46185</v>
      </c>
      <c r="B215" s="11">
        <v>2740.1</v>
      </c>
      <c r="C215">
        <v>23989.15</v>
      </c>
      <c r="D215" s="23">
        <f t="shared" si="6"/>
        <v>1.8624535315985069E-2</v>
      </c>
      <c r="E215" s="23">
        <f t="shared" si="7"/>
        <v>5.6699323800299961E-3</v>
      </c>
      <c r="H215" s="16"/>
      <c r="I215" s="16"/>
      <c r="J215" s="15"/>
    </row>
    <row r="216" spans="1:10" x14ac:dyDescent="0.2">
      <c r="A216" s="10">
        <v>46188</v>
      </c>
      <c r="B216" s="11">
        <v>2730</v>
      </c>
      <c r="C216">
        <v>24085.7</v>
      </c>
      <c r="D216" s="23">
        <f t="shared" si="6"/>
        <v>-3.6859968614283423E-3</v>
      </c>
      <c r="E216" s="23">
        <f t="shared" si="7"/>
        <v>4.0247361828158468E-3</v>
      </c>
      <c r="H216" s="16"/>
      <c r="I216" s="16"/>
      <c r="J216" s="15"/>
    </row>
    <row r="217" spans="1:10" x14ac:dyDescent="0.2">
      <c r="A217" s="10">
        <v>46189</v>
      </c>
      <c r="B217" s="11">
        <v>2750</v>
      </c>
      <c r="C217">
        <v>24168</v>
      </c>
      <c r="D217" s="23">
        <f t="shared" si="6"/>
        <v>7.3260073260073E-3</v>
      </c>
      <c r="E217" s="23">
        <f t="shared" si="7"/>
        <v>3.4169652532414219E-3</v>
      </c>
      <c r="H217" s="16"/>
      <c r="I217" s="16"/>
      <c r="J217" s="15"/>
    </row>
    <row r="218" spans="1:10" x14ac:dyDescent="0.2">
      <c r="A218" s="10">
        <v>46190</v>
      </c>
      <c r="B218" s="11">
        <v>2735.7</v>
      </c>
      <c r="C218">
        <v>24013.1</v>
      </c>
      <c r="D218" s="23">
        <f t="shared" si="6"/>
        <v>-5.2000000000000934E-3</v>
      </c>
      <c r="E218" s="23">
        <f t="shared" si="7"/>
        <v>-6.4093015557763477E-3</v>
      </c>
      <c r="H218" s="16"/>
      <c r="I218" s="16"/>
      <c r="J218" s="15"/>
    </row>
    <row r="219" spans="1:10" x14ac:dyDescent="0.2">
      <c r="A219" s="10">
        <v>46191</v>
      </c>
      <c r="B219" s="11">
        <v>2752.9</v>
      </c>
      <c r="C219">
        <v>24102.9</v>
      </c>
      <c r="D219" s="23">
        <f t="shared" si="6"/>
        <v>6.2872390978543358E-3</v>
      </c>
      <c r="E219" s="23">
        <f t="shared" si="7"/>
        <v>3.7396254544395102E-3</v>
      </c>
      <c r="H219" s="16"/>
      <c r="I219" s="16"/>
      <c r="J219" s="15"/>
    </row>
    <row r="220" spans="1:10" x14ac:dyDescent="0.2">
      <c r="A220" s="10">
        <v>46192</v>
      </c>
      <c r="B220" s="11">
        <v>2736</v>
      </c>
      <c r="C220">
        <v>23824.1</v>
      </c>
      <c r="D220" s="23">
        <f t="shared" si="6"/>
        <v>-6.1389807112499639E-3</v>
      </c>
      <c r="E220" s="23">
        <f t="shared" si="7"/>
        <v>-1.1567072841857318E-2</v>
      </c>
      <c r="H220" s="16"/>
      <c r="I220" s="16"/>
      <c r="J220" s="15"/>
    </row>
    <row r="221" spans="1:10" x14ac:dyDescent="0.2">
      <c r="A221" s="10">
        <v>46195</v>
      </c>
      <c r="B221" s="11">
        <v>2672.9</v>
      </c>
      <c r="C221">
        <v>24021.65</v>
      </c>
      <c r="D221" s="23">
        <f t="shared" si="6"/>
        <v>-2.3062865497076035E-2</v>
      </c>
      <c r="E221" s="23">
        <f t="shared" si="7"/>
        <v>8.2920236231380784E-3</v>
      </c>
      <c r="H221" s="16"/>
      <c r="I221" s="16"/>
      <c r="J221" s="15"/>
    </row>
    <row r="222" spans="1:10" x14ac:dyDescent="0.2">
      <c r="A222" s="10">
        <v>46196</v>
      </c>
      <c r="B222" s="11">
        <v>2662</v>
      </c>
      <c r="C222">
        <v>24056</v>
      </c>
      <c r="D222" s="23">
        <f t="shared" si="6"/>
        <v>-4.0779677503834932E-3</v>
      </c>
      <c r="E222" s="23">
        <f t="shared" si="7"/>
        <v>1.4299600568652426E-3</v>
      </c>
      <c r="H222" s="16"/>
      <c r="I222" s="16"/>
      <c r="J222" s="15"/>
    </row>
    <row r="223" spans="1:10" x14ac:dyDescent="0.2">
      <c r="A223" s="10">
        <v>46197</v>
      </c>
      <c r="B223" s="11">
        <v>2670</v>
      </c>
      <c r="C223">
        <v>23946.25</v>
      </c>
      <c r="D223" s="23">
        <f t="shared" si="6"/>
        <v>3.0052592036062808E-3</v>
      </c>
      <c r="E223" s="23">
        <f t="shared" si="7"/>
        <v>-4.5622713668107551E-3</v>
      </c>
      <c r="H223" s="16"/>
      <c r="I223" s="16"/>
      <c r="J223" s="15"/>
    </row>
    <row r="224" spans="1:10" x14ac:dyDescent="0.2">
      <c r="A224" s="10">
        <v>46197</v>
      </c>
      <c r="B224" s="11">
        <v>2661.2</v>
      </c>
      <c r="C224">
        <v>23865.75</v>
      </c>
      <c r="D224" s="23">
        <f t="shared" si="6"/>
        <v>-3.2958801498128576E-3</v>
      </c>
      <c r="E224" s="23">
        <f t="shared" si="7"/>
        <v>-3.3616954637991636E-3</v>
      </c>
      <c r="H224" s="16"/>
      <c r="I224" s="16"/>
      <c r="J224" s="15"/>
    </row>
    <row r="225" spans="1:10" x14ac:dyDescent="0.2">
      <c r="A225" s="10">
        <v>46198</v>
      </c>
      <c r="B225" s="11">
        <v>2640</v>
      </c>
      <c r="C225">
        <v>24005.85</v>
      </c>
      <c r="D225" s="23">
        <f t="shared" si="6"/>
        <v>-7.9663309785058534E-3</v>
      </c>
      <c r="E225" s="23">
        <f t="shared" si="7"/>
        <v>5.8703371987052222E-3</v>
      </c>
      <c r="H225" s="16"/>
      <c r="I225" s="16"/>
      <c r="J225" s="15"/>
    </row>
    <row r="226" spans="1:10" x14ac:dyDescent="0.2">
      <c r="A226" s="10">
        <v>46202</v>
      </c>
      <c r="B226" s="11">
        <v>2655</v>
      </c>
      <c r="C226">
        <v>24175.7</v>
      </c>
      <c r="D226" s="23">
        <f t="shared" si="6"/>
        <v>5.6818181818181213E-3</v>
      </c>
      <c r="E226" s="23">
        <f t="shared" si="7"/>
        <v>7.0753587146468178E-3</v>
      </c>
      <c r="H226" s="16"/>
      <c r="I226" s="16"/>
      <c r="J226" s="15"/>
    </row>
    <row r="227" spans="1:10" x14ac:dyDescent="0.2">
      <c r="A227" s="10">
        <v>46203</v>
      </c>
      <c r="B227" s="11">
        <v>2640</v>
      </c>
      <c r="C227">
        <v>24270.85</v>
      </c>
      <c r="D227" s="23">
        <f t="shared" si="6"/>
        <v>-5.6497175141242417E-3</v>
      </c>
      <c r="E227" s="23">
        <f t="shared" si="7"/>
        <v>3.9357702155469187E-3</v>
      </c>
      <c r="H227" s="16"/>
      <c r="I227" s="16"/>
      <c r="J227" s="15"/>
    </row>
    <row r="228" spans="1:10" x14ac:dyDescent="0.2">
      <c r="A228" s="10">
        <v>46204</v>
      </c>
      <c r="B228" s="11">
        <v>2715</v>
      </c>
      <c r="C228">
        <v>24430.35</v>
      </c>
      <c r="D228" s="23">
        <f t="shared" si="6"/>
        <v>2.8409090909090828E-2</v>
      </c>
      <c r="E228" s="23">
        <f t="shared" si="7"/>
        <v>6.5716693070081433E-3</v>
      </c>
      <c r="H228" s="16"/>
      <c r="I228" s="16"/>
      <c r="J228" s="15"/>
    </row>
    <row r="229" spans="1:10" x14ac:dyDescent="0.2">
      <c r="A229" s="10">
        <v>46205</v>
      </c>
      <c r="B229" s="11">
        <v>2736</v>
      </c>
      <c r="C229">
        <v>24398.7</v>
      </c>
      <c r="D229" s="23">
        <f t="shared" si="6"/>
        <v>7.7348066298341678E-3</v>
      </c>
      <c r="E229" s="23">
        <f t="shared" si="7"/>
        <v>-1.2955197121612416E-3</v>
      </c>
      <c r="H229" s="16"/>
      <c r="I229" s="16"/>
      <c r="J229" s="15"/>
    </row>
    <row r="230" spans="1:10" x14ac:dyDescent="0.2">
      <c r="A230" s="10">
        <v>46206</v>
      </c>
      <c r="B230" s="11">
        <v>2738.1</v>
      </c>
      <c r="C230">
        <v>23882.05</v>
      </c>
      <c r="D230" s="23">
        <f t="shared" si="6"/>
        <v>7.675438596490558E-4</v>
      </c>
      <c r="E230" s="23">
        <f t="shared" si="7"/>
        <v>-2.1175308520535951E-2</v>
      </c>
      <c r="H230" s="16"/>
      <c r="I230" s="16"/>
      <c r="J230" s="15"/>
    </row>
    <row r="231" spans="1:10" x14ac:dyDescent="0.2">
      <c r="A231" s="10">
        <v>46209</v>
      </c>
      <c r="B231" s="11">
        <v>2752.8</v>
      </c>
      <c r="C231">
        <v>23962.799999999999</v>
      </c>
      <c r="D231" s="23">
        <f t="shared" si="6"/>
        <v>5.3686863153281639E-3</v>
      </c>
      <c r="E231" s="23">
        <f t="shared" si="7"/>
        <v>3.3812005250806187E-3</v>
      </c>
      <c r="H231" s="16"/>
      <c r="I231" s="16"/>
      <c r="J231" s="15"/>
    </row>
    <row r="232" spans="1:10" x14ac:dyDescent="0.2">
      <c r="A232" s="10">
        <v>46210</v>
      </c>
      <c r="B232" s="11">
        <v>2730.2</v>
      </c>
      <c r="C232">
        <v>24206.9</v>
      </c>
      <c r="D232" s="23">
        <f t="shared" si="6"/>
        <v>-8.209822725951943E-3</v>
      </c>
      <c r="E232" s="23">
        <f t="shared" si="7"/>
        <v>1.0186622598360895E-2</v>
      </c>
      <c r="H232" s="16"/>
      <c r="I232" s="16"/>
      <c r="J232" s="15"/>
    </row>
    <row r="233" spans="1:10" x14ac:dyDescent="0.2">
      <c r="A233" s="10">
        <v>46211</v>
      </c>
      <c r="B233" s="11">
        <v>2667</v>
      </c>
      <c r="C233">
        <v>24211</v>
      </c>
      <c r="D233" s="23">
        <f t="shared" si="6"/>
        <v>-2.3148487290308384E-2</v>
      </c>
      <c r="E233" s="23">
        <f t="shared" si="7"/>
        <v>1.6937319524590322E-4</v>
      </c>
      <c r="H233" s="16"/>
      <c r="I233" s="16"/>
      <c r="J233" s="15"/>
    </row>
    <row r="234" spans="1:10" x14ac:dyDescent="0.2">
      <c r="A234" s="10">
        <v>46212</v>
      </c>
      <c r="B234" s="11">
        <v>2677.2</v>
      </c>
      <c r="C234">
        <v>24052.05</v>
      </c>
      <c r="D234" s="23">
        <f t="shared" si="6"/>
        <v>3.8245219347581294E-3</v>
      </c>
      <c r="E234" s="23">
        <f t="shared" si="7"/>
        <v>-6.5651976374375698E-3</v>
      </c>
      <c r="H234" s="16"/>
      <c r="I234" s="16"/>
      <c r="J234" s="15"/>
    </row>
    <row r="235" spans="1:10" x14ac:dyDescent="0.2">
      <c r="A235" s="10">
        <v>46213</v>
      </c>
      <c r="B235" s="11">
        <v>2676.5</v>
      </c>
      <c r="C235">
        <v>24078.5</v>
      </c>
      <c r="D235" s="23">
        <f t="shared" si="6"/>
        <v>-2.6146720454200967E-4</v>
      </c>
      <c r="E235" s="23">
        <f t="shared" si="7"/>
        <v>1.0996983625095602E-3</v>
      </c>
      <c r="H235" s="16"/>
      <c r="I235" s="16"/>
      <c r="J235" s="15"/>
    </row>
    <row r="236" spans="1:10" x14ac:dyDescent="0.2">
      <c r="A236" s="10">
        <v>46216</v>
      </c>
      <c r="B236" s="11">
        <v>2649.4</v>
      </c>
      <c r="C236">
        <v>24072.75</v>
      </c>
      <c r="D236" s="23">
        <f t="shared" si="6"/>
        <v>-1.0125163459742126E-2</v>
      </c>
      <c r="E236" s="23">
        <f t="shared" si="7"/>
        <v>-2.3880225097083763E-4</v>
      </c>
      <c r="H236" s="16"/>
      <c r="I236" s="16"/>
      <c r="J236" s="15"/>
    </row>
    <row r="237" spans="1:10" x14ac:dyDescent="0.2">
      <c r="A237" s="10">
        <v>46217</v>
      </c>
      <c r="B237" s="11">
        <v>2640</v>
      </c>
      <c r="C237">
        <v>24334.3</v>
      </c>
      <c r="D237" s="23">
        <f t="shared" si="6"/>
        <v>-3.5479731259908664E-3</v>
      </c>
      <c r="E237" s="23">
        <f t="shared" si="7"/>
        <v>1.0864982189404904E-2</v>
      </c>
      <c r="H237" s="16"/>
      <c r="I237" s="16"/>
      <c r="J237" s="15"/>
    </row>
    <row r="238" spans="1:10" x14ac:dyDescent="0.2">
      <c r="A238" s="10">
        <v>46218</v>
      </c>
      <c r="B238" s="11">
        <v>2670.6</v>
      </c>
      <c r="C238">
        <v>24238.5</v>
      </c>
      <c r="D238" s="23">
        <f t="shared" si="6"/>
        <v>1.1590909090908985E-2</v>
      </c>
      <c r="E238" s="23">
        <f t="shared" si="7"/>
        <v>-3.9368299067571444E-3</v>
      </c>
      <c r="H238" s="16"/>
      <c r="I238" s="16"/>
      <c r="J238" s="15"/>
    </row>
    <row r="239" spans="1:10" x14ac:dyDescent="0.2">
      <c r="A239" s="10">
        <v>46219</v>
      </c>
      <c r="B239" s="11">
        <v>2668</v>
      </c>
      <c r="C239">
        <v>24187.7</v>
      </c>
      <c r="D239" s="23">
        <f t="shared" si="6"/>
        <v>-9.7356399311010478E-4</v>
      </c>
      <c r="E239" s="23">
        <f t="shared" si="7"/>
        <v>-2.0958392639808254E-3</v>
      </c>
      <c r="H239" s="16"/>
      <c r="I239" s="16"/>
      <c r="J239" s="15"/>
    </row>
    <row r="240" spans="1:10" x14ac:dyDescent="0.2">
      <c r="A240" s="10">
        <v>46220</v>
      </c>
      <c r="B240" s="11">
        <v>2690</v>
      </c>
      <c r="C240">
        <v>23996.25</v>
      </c>
      <c r="D240" s="23">
        <f t="shared" si="6"/>
        <v>8.2458770614692867E-3</v>
      </c>
      <c r="E240" s="23">
        <f t="shared" si="7"/>
        <v>-7.9151800295191865E-3</v>
      </c>
      <c r="H240" s="16"/>
      <c r="I240" s="16"/>
      <c r="J240" s="15"/>
    </row>
    <row r="241" spans="1:10" x14ac:dyDescent="0.2">
      <c r="A241" s="10">
        <v>46223</v>
      </c>
      <c r="B241" s="11">
        <v>2688</v>
      </c>
      <c r="C241">
        <v>23869.599999999999</v>
      </c>
      <c r="D241" s="23">
        <f t="shared" si="6"/>
        <v>-7.4349442379184616E-4</v>
      </c>
      <c r="E241" s="23">
        <f t="shared" si="7"/>
        <v>-5.2779080064594419E-3</v>
      </c>
      <c r="H241" s="16"/>
      <c r="I241" s="16"/>
      <c r="J241" s="15"/>
    </row>
    <row r="242" spans="1:10" x14ac:dyDescent="0.2">
      <c r="A242" s="10">
        <v>46224</v>
      </c>
      <c r="B242" s="11">
        <v>2697</v>
      </c>
      <c r="C242">
        <v>23767.45</v>
      </c>
      <c r="D242" s="23">
        <f t="shared" si="6"/>
        <v>3.3482142857141906E-3</v>
      </c>
      <c r="E242" s="23">
        <f t="shared" si="7"/>
        <v>-4.2795019606527429E-3</v>
      </c>
      <c r="H242" s="16"/>
      <c r="I242" s="16"/>
      <c r="J242" s="15"/>
    </row>
    <row r="243" spans="1:10" x14ac:dyDescent="0.2">
      <c r="A243" s="10">
        <v>46225</v>
      </c>
      <c r="B243" s="11">
        <v>2690</v>
      </c>
      <c r="C243">
        <v>23995.95</v>
      </c>
      <c r="D243" s="23">
        <f t="shared" si="6"/>
        <v>-2.5954764553207665E-3</v>
      </c>
      <c r="E243" s="23">
        <f t="shared" si="7"/>
        <v>9.6139888797495132E-3</v>
      </c>
      <c r="H243" s="16"/>
      <c r="I243" s="16"/>
      <c r="J243" s="15"/>
    </row>
    <row r="244" spans="1:10" x14ac:dyDescent="0.2">
      <c r="A244" s="10">
        <v>46226</v>
      </c>
      <c r="B244" s="11">
        <v>2666.8</v>
      </c>
      <c r="C244">
        <v>23985.35</v>
      </c>
      <c r="D244" s="23">
        <f t="shared" si="6"/>
        <v>-8.6245353159850602E-3</v>
      </c>
      <c r="E244" s="23">
        <f t="shared" si="7"/>
        <v>-4.4174121049600501E-4</v>
      </c>
      <c r="H244" s="16"/>
      <c r="I244" s="16"/>
      <c r="J244" s="15"/>
    </row>
    <row r="245" spans="1:10" x14ac:dyDescent="0.2">
      <c r="A245" s="10">
        <v>46227</v>
      </c>
      <c r="B245" s="11">
        <v>2639.5</v>
      </c>
      <c r="C245">
        <v>24250.2</v>
      </c>
      <c r="D245" s="23">
        <f t="shared" si="6"/>
        <v>-1.0236988150592485E-2</v>
      </c>
      <c r="E245" s="23">
        <f t="shared" si="7"/>
        <v>1.1042156983325224E-2</v>
      </c>
      <c r="H245" s="16"/>
      <c r="I245" s="16"/>
      <c r="J245" s="15"/>
    </row>
    <row r="246" spans="1:10" x14ac:dyDescent="0.2">
      <c r="A246" s="10">
        <v>46230</v>
      </c>
      <c r="B246" s="11">
        <v>2710</v>
      </c>
      <c r="C246">
        <v>24317.15</v>
      </c>
      <c r="D246" s="23">
        <f t="shared" si="6"/>
        <v>2.6709604091684103E-2</v>
      </c>
      <c r="E246" s="23">
        <f t="shared" si="7"/>
        <v>2.7608019727671795E-3</v>
      </c>
      <c r="H246" s="16"/>
      <c r="I246" s="16"/>
      <c r="J246" s="15"/>
    </row>
    <row r="247" spans="1:10" x14ac:dyDescent="0.2">
      <c r="A247" s="10">
        <v>46231</v>
      </c>
      <c r="B247" s="11">
        <v>2739</v>
      </c>
      <c r="C247">
        <v>24383.599999999999</v>
      </c>
      <c r="D247" s="23">
        <f t="shared" si="6"/>
        <v>1.0701107011070077E-2</v>
      </c>
      <c r="E247" s="23">
        <f t="shared" si="7"/>
        <v>2.7326393101163582E-3</v>
      </c>
      <c r="H247" s="16"/>
      <c r="I247" s="16"/>
      <c r="J247" s="15"/>
    </row>
    <row r="248" spans="1:10" x14ac:dyDescent="0.2">
      <c r="A248" s="10">
        <v>46232</v>
      </c>
      <c r="B248" s="11">
        <v>2761</v>
      </c>
      <c r="C248">
        <v>25549</v>
      </c>
      <c r="D248" s="23">
        <f t="shared" si="6"/>
        <v>8.0321285140563248E-3</v>
      </c>
      <c r="E248" s="23">
        <f>C248/C247-1</f>
        <v>4.7794419199790106E-2</v>
      </c>
    </row>
    <row r="249" spans="1:10" x14ac:dyDescent="0.2">
      <c r="A249" s="10">
        <v>46233</v>
      </c>
      <c r="B249" s="11">
        <v>2750</v>
      </c>
      <c r="C249">
        <v>25637.8</v>
      </c>
      <c r="D249" s="23">
        <f t="shared" si="6"/>
        <v>-3.9840637450199168E-3</v>
      </c>
      <c r="E249" s="23">
        <f t="shared" ref="E249:E250" si="8">C249/C248-1</f>
        <v>3.4756741946846414E-3</v>
      </c>
    </row>
    <row r="250" spans="1:10" x14ac:dyDescent="0.2">
      <c r="A250" s="10">
        <v>46234</v>
      </c>
      <c r="B250" s="11">
        <v>2738</v>
      </c>
      <c r="C250">
        <v>25517.05</v>
      </c>
      <c r="D250" s="23">
        <f t="shared" si="6"/>
        <v>-4.3636363636363473E-3</v>
      </c>
      <c r="E250" s="23">
        <f t="shared" si="8"/>
        <v>-4.7098424981862896E-3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42E46-F4BC-4003-9CBA-6A46FD337204}">
  <dimension ref="A1:L28"/>
  <sheetViews>
    <sheetView workbookViewId="0"/>
  </sheetViews>
  <sheetFormatPr defaultRowHeight="12.75" x14ac:dyDescent="0.2"/>
  <cols>
    <col min="7" max="7" width="13.5703125" customWidth="1"/>
    <col min="8" max="8" width="18.85546875" customWidth="1"/>
  </cols>
  <sheetData>
    <row r="1" spans="1:9" x14ac:dyDescent="0.2">
      <c r="A1" s="17" t="s">
        <v>79</v>
      </c>
      <c r="B1" s="17"/>
      <c r="C1" s="16"/>
      <c r="D1" s="16"/>
      <c r="E1" s="16"/>
      <c r="F1" s="16"/>
      <c r="G1" s="16"/>
      <c r="H1" s="15"/>
      <c r="I1" s="15"/>
    </row>
    <row r="2" spans="1:9" x14ac:dyDescent="0.2">
      <c r="A2" s="17"/>
      <c r="B2" s="17"/>
      <c r="C2" s="16"/>
      <c r="D2" s="16"/>
      <c r="E2" s="16"/>
      <c r="F2" s="16"/>
      <c r="G2" s="16"/>
      <c r="H2" s="15" t="s">
        <v>103</v>
      </c>
      <c r="I2" s="15"/>
    </row>
    <row r="3" spans="1:9" x14ac:dyDescent="0.2">
      <c r="A3" s="17"/>
      <c r="B3" s="17"/>
      <c r="C3" s="16"/>
      <c r="D3" s="16"/>
      <c r="E3" s="16"/>
      <c r="F3" s="16"/>
      <c r="G3" s="16"/>
      <c r="I3" s="15"/>
    </row>
    <row r="4" spans="1:9" x14ac:dyDescent="0.2">
      <c r="A4" s="17"/>
      <c r="B4" s="17"/>
      <c r="C4" s="16"/>
      <c r="D4" s="16"/>
      <c r="E4" s="16"/>
      <c r="F4" s="16"/>
      <c r="G4" s="16"/>
      <c r="H4" s="15" t="s">
        <v>104</v>
      </c>
      <c r="I4" s="15"/>
    </row>
    <row r="5" spans="1:9" x14ac:dyDescent="0.2">
      <c r="A5" s="17"/>
      <c r="B5" s="17"/>
      <c r="C5" s="16"/>
      <c r="D5" s="16"/>
      <c r="E5" s="16"/>
      <c r="F5" s="16"/>
      <c r="G5" s="16"/>
      <c r="H5" s="15"/>
      <c r="I5" s="15"/>
    </row>
    <row r="6" spans="1:9" x14ac:dyDescent="0.2">
      <c r="A6" s="17"/>
      <c r="B6" s="17"/>
      <c r="C6" s="16"/>
      <c r="D6" s="16"/>
      <c r="E6" s="16"/>
      <c r="F6" s="16"/>
      <c r="G6" s="16"/>
      <c r="H6" s="15" t="s">
        <v>105</v>
      </c>
      <c r="I6" s="15"/>
    </row>
    <row r="7" spans="1:9" x14ac:dyDescent="0.2">
      <c r="A7" s="17"/>
      <c r="B7" s="17"/>
      <c r="C7" s="16"/>
      <c r="D7" s="16"/>
      <c r="E7" s="16"/>
      <c r="F7" s="16"/>
      <c r="G7" s="16"/>
      <c r="H7" s="15" t="s">
        <v>106</v>
      </c>
      <c r="I7" s="15"/>
    </row>
    <row r="8" spans="1:9" x14ac:dyDescent="0.2">
      <c r="A8" s="17"/>
      <c r="B8" s="17"/>
      <c r="C8" s="16"/>
      <c r="D8" s="16"/>
      <c r="E8" s="16"/>
      <c r="F8" s="16"/>
      <c r="G8" s="16"/>
      <c r="H8" s="15"/>
      <c r="I8" s="15"/>
    </row>
    <row r="9" spans="1:9" x14ac:dyDescent="0.2">
      <c r="A9" s="17"/>
      <c r="B9" s="17"/>
      <c r="C9" s="16" t="s">
        <v>107</v>
      </c>
      <c r="D9" s="16" t="s">
        <v>108</v>
      </c>
      <c r="E9" s="16" t="s">
        <v>93</v>
      </c>
      <c r="F9" s="16" t="s">
        <v>109</v>
      </c>
      <c r="G9" s="16" t="s">
        <v>110</v>
      </c>
      <c r="H9" s="16" t="s">
        <v>103</v>
      </c>
      <c r="I9" s="15"/>
    </row>
    <row r="10" spans="1:9" x14ac:dyDescent="0.2">
      <c r="A10" s="17" t="s">
        <v>111</v>
      </c>
      <c r="B10" s="17" t="s">
        <v>112</v>
      </c>
      <c r="C10" s="30">
        <v>0.14000000000000001</v>
      </c>
      <c r="D10" s="30">
        <v>0.06</v>
      </c>
      <c r="E10" s="30"/>
      <c r="F10" s="30"/>
      <c r="G10" s="30">
        <v>0.14000000000000001</v>
      </c>
      <c r="H10" s="31">
        <f>(C10-D10)/G10</f>
        <v>0.57142857142857151</v>
      </c>
      <c r="I10" s="15"/>
    </row>
    <row r="11" spans="1:9" x14ac:dyDescent="0.2">
      <c r="A11" s="17" t="s">
        <v>113</v>
      </c>
      <c r="B11" s="17" t="s">
        <v>2</v>
      </c>
      <c r="C11" s="30">
        <v>0.14000000000000001</v>
      </c>
      <c r="D11" s="30">
        <v>0.06</v>
      </c>
      <c r="E11" s="30"/>
      <c r="F11" s="30"/>
      <c r="G11" s="32">
        <v>0.24083200000000002</v>
      </c>
      <c r="H11" s="31">
        <f t="shared" ref="H11:H14" si="0">(C11-D11)/G11</f>
        <v>0.3321817698644699</v>
      </c>
      <c r="I11" s="15"/>
    </row>
    <row r="12" spans="1:9" x14ac:dyDescent="0.2">
      <c r="A12" s="17" t="s">
        <v>114</v>
      </c>
      <c r="B12" s="17" t="s">
        <v>47</v>
      </c>
      <c r="C12" s="30">
        <v>0.14000000000000001</v>
      </c>
      <c r="D12" s="30">
        <v>0.06</v>
      </c>
      <c r="E12" s="30"/>
      <c r="F12" s="30"/>
      <c r="G12" s="32">
        <v>0.42688000000000004</v>
      </c>
      <c r="H12" s="31">
        <f t="shared" si="0"/>
        <v>0.18740629685157423</v>
      </c>
      <c r="I12" s="15"/>
    </row>
    <row r="13" spans="1:9" x14ac:dyDescent="0.2">
      <c r="A13" s="17" t="s">
        <v>115</v>
      </c>
      <c r="B13" s="17" t="s">
        <v>116</v>
      </c>
      <c r="C13" s="30">
        <v>0.14000000000000001</v>
      </c>
      <c r="D13" s="30">
        <v>0.06</v>
      </c>
      <c r="E13" s="29">
        <v>-0.85</v>
      </c>
      <c r="F13" s="29">
        <f>(0.5*$G$11)^2+(0.5*$G$12)^2+2*(0.5*$G$11)*(0.5*$G$12)*E13</f>
        <v>1.6363941888000007E-2</v>
      </c>
      <c r="G13" s="33">
        <f>SQRT(F13)</f>
        <v>0.12792162400470067</v>
      </c>
      <c r="H13" s="31">
        <f t="shared" si="0"/>
        <v>0.62538292976221366</v>
      </c>
      <c r="I13" s="15"/>
    </row>
    <row r="14" spans="1:9" x14ac:dyDescent="0.2">
      <c r="A14" s="17"/>
      <c r="B14" s="17" t="s">
        <v>116</v>
      </c>
      <c r="C14" s="30">
        <v>0.14000000000000001</v>
      </c>
      <c r="D14" s="30">
        <v>0.06</v>
      </c>
      <c r="E14" s="29">
        <v>1</v>
      </c>
      <c r="F14" s="29">
        <f>(0.5*$G$11)^2+(0.5*$G$12)^2+2*(0.5*$G$11)*(0.5*$G$12)*E14</f>
        <v>0.11145982873600002</v>
      </c>
      <c r="G14" s="33">
        <f>SQRT(F14)</f>
        <v>0.33385600000000004</v>
      </c>
      <c r="H14" s="31">
        <f t="shared" si="0"/>
        <v>0.23962426914597912</v>
      </c>
      <c r="I14" s="15"/>
    </row>
    <row r="15" spans="1:9" x14ac:dyDescent="0.2">
      <c r="A15" s="17"/>
      <c r="B15" s="17"/>
      <c r="C15" s="16"/>
      <c r="D15" s="16"/>
      <c r="E15" s="16"/>
      <c r="F15" s="16"/>
      <c r="G15" s="30"/>
      <c r="H15" s="15"/>
      <c r="I15" s="15"/>
    </row>
    <row r="16" spans="1:9" x14ac:dyDescent="0.2">
      <c r="A16" s="17"/>
      <c r="B16" s="17"/>
      <c r="C16" s="16"/>
      <c r="D16" s="16"/>
      <c r="E16" s="16"/>
      <c r="F16" s="16"/>
      <c r="G16" s="16"/>
      <c r="H16" s="15"/>
      <c r="I16" s="15"/>
    </row>
    <row r="17" spans="1:12" x14ac:dyDescent="0.2">
      <c r="A17" s="17"/>
      <c r="B17" s="17"/>
      <c r="C17" s="16"/>
      <c r="D17" s="16"/>
      <c r="E17" s="16"/>
      <c r="F17" s="16"/>
      <c r="G17" s="16"/>
      <c r="H17" s="15"/>
      <c r="I17" s="15"/>
    </row>
    <row r="18" spans="1:12" x14ac:dyDescent="0.2">
      <c r="A18" s="17" t="s">
        <v>102</v>
      </c>
      <c r="B18" s="17" t="s">
        <v>117</v>
      </c>
      <c r="C18" s="16"/>
      <c r="D18" s="16"/>
      <c r="E18" s="16"/>
      <c r="F18" s="16"/>
      <c r="G18" s="16"/>
      <c r="I18" s="15"/>
    </row>
    <row r="19" spans="1:12" x14ac:dyDescent="0.2">
      <c r="A19" s="17"/>
      <c r="B19" s="17"/>
      <c r="C19" s="16"/>
      <c r="D19" s="16"/>
      <c r="E19" s="16"/>
      <c r="F19" s="16"/>
      <c r="G19" s="16"/>
      <c r="I19" s="15"/>
    </row>
    <row r="20" spans="1:12" x14ac:dyDescent="0.2">
      <c r="A20" s="17"/>
      <c r="B20" s="17"/>
      <c r="C20" s="16" t="s">
        <v>118</v>
      </c>
      <c r="D20" s="16" t="s">
        <v>108</v>
      </c>
      <c r="E20" s="16" t="s">
        <v>119</v>
      </c>
      <c r="F20" s="16" t="s">
        <v>95</v>
      </c>
      <c r="G20" s="15" t="s">
        <v>120</v>
      </c>
      <c r="H20" s="15"/>
      <c r="I20" s="15"/>
    </row>
    <row r="21" spans="1:12" x14ac:dyDescent="0.2">
      <c r="A21" s="17">
        <v>1</v>
      </c>
      <c r="B21" s="17" t="s">
        <v>2</v>
      </c>
      <c r="C21" s="34">
        <v>0.4</v>
      </c>
      <c r="D21" s="30">
        <v>0.06</v>
      </c>
      <c r="E21" s="34">
        <f>C21-D21</f>
        <v>0.34</v>
      </c>
      <c r="F21" s="16">
        <v>0.89839999999999998</v>
      </c>
      <c r="G21" s="35">
        <f>D21+F21*E21</f>
        <v>0.365456</v>
      </c>
      <c r="H21" s="15"/>
      <c r="I21" s="15"/>
      <c r="K21" s="36"/>
    </row>
    <row r="22" spans="1:12" x14ac:dyDescent="0.2">
      <c r="A22" s="17"/>
      <c r="B22" s="17" t="s">
        <v>2</v>
      </c>
      <c r="C22" s="34">
        <v>-0.1</v>
      </c>
      <c r="D22" s="30">
        <v>0.06</v>
      </c>
      <c r="E22" s="34">
        <f>C22-D22</f>
        <v>-0.16</v>
      </c>
      <c r="F22" s="16">
        <v>0.89839999999999998</v>
      </c>
      <c r="G22" s="35">
        <f>D22+F22*E22</f>
        <v>-8.3744000000000013E-2</v>
      </c>
      <c r="H22" s="15"/>
      <c r="I22" s="15"/>
      <c r="K22" s="36"/>
      <c r="L22" s="36"/>
    </row>
    <row r="23" spans="1:12" x14ac:dyDescent="0.2">
      <c r="A23" s="17">
        <v>2</v>
      </c>
      <c r="B23" s="17" t="s">
        <v>47</v>
      </c>
      <c r="C23" s="34">
        <v>0.4</v>
      </c>
      <c r="D23" s="30">
        <v>0.06</v>
      </c>
      <c r="E23" s="34">
        <f>C23-D23</f>
        <v>0.34</v>
      </c>
      <c r="F23" s="16">
        <v>1.3348</v>
      </c>
      <c r="G23" s="35">
        <f>D23+F23*E23</f>
        <v>0.51383200000000007</v>
      </c>
      <c r="H23" s="15"/>
      <c r="I23" s="15"/>
      <c r="K23" s="36"/>
    </row>
    <row r="24" spans="1:12" x14ac:dyDescent="0.2">
      <c r="A24" s="17"/>
      <c r="B24" s="17" t="s">
        <v>47</v>
      </c>
      <c r="C24" s="34">
        <v>-0.1</v>
      </c>
      <c r="D24" s="30">
        <v>0.06</v>
      </c>
      <c r="E24" s="34">
        <f>C24-D24</f>
        <v>-0.16</v>
      </c>
      <c r="F24" s="16">
        <v>1.3348</v>
      </c>
      <c r="G24" s="35">
        <f>D24+F24*E24</f>
        <v>-0.15356800000000001</v>
      </c>
      <c r="H24" s="15" t="s">
        <v>121</v>
      </c>
      <c r="I24" s="15"/>
      <c r="K24" s="36"/>
      <c r="L24" s="36"/>
    </row>
    <row r="25" spans="1:12" x14ac:dyDescent="0.2">
      <c r="A25" s="1"/>
      <c r="B25" s="1"/>
      <c r="C25" s="2"/>
      <c r="D25" s="2"/>
      <c r="E25" s="2"/>
      <c r="F25" s="2"/>
      <c r="G25" s="2"/>
    </row>
    <row r="26" spans="1:12" x14ac:dyDescent="0.2">
      <c r="A26" s="1"/>
      <c r="B26" s="1"/>
      <c r="C26" s="2"/>
      <c r="D26" s="2"/>
      <c r="E26" s="2"/>
      <c r="F26" s="2"/>
      <c r="G26" s="2"/>
    </row>
    <row r="27" spans="1:12" x14ac:dyDescent="0.2">
      <c r="A27" s="1"/>
      <c r="B27" s="1"/>
      <c r="C27" s="2"/>
      <c r="D27" s="2"/>
      <c r="E27" s="2"/>
      <c r="F27" s="2"/>
      <c r="G27" s="2"/>
    </row>
    <row r="28" spans="1:12" x14ac:dyDescent="0.2">
      <c r="A28" s="1"/>
      <c r="B28" s="1"/>
      <c r="C28" s="2"/>
      <c r="D28" s="2"/>
      <c r="E28" s="2"/>
      <c r="F28" s="2"/>
      <c r="G28" s="2"/>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Exhibit-1</vt:lpstr>
      <vt:lpstr>Exhibit-2</vt:lpstr>
      <vt:lpstr>Sheet1</vt:lpstr>
    </vt:vector>
  </TitlesOfParts>
  <Company>Capital Market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Capital Market</dc:creator>
  <cp:lastModifiedBy>Sudhanshu Pani (Dr.)</cp:lastModifiedBy>
  <dcterms:created xsi:type="dcterms:W3CDTF">2007-04-02T11:56:57Z</dcterms:created>
  <dcterms:modified xsi:type="dcterms:W3CDTF">2026-10-22T08:21:04Z</dcterms:modified>
</cp:coreProperties>
</file>